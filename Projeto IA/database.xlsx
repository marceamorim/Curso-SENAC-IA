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  <sheet state="visible" name="Sabores_Opcoes" sheetId="2" r:id="rId6"/>
    <sheet state="visible" name="Tamanhos_Bolos" sheetId="3" r:id="rId7"/>
    <sheet state="visible" name="Decoracoes" sheetId="4" r:id="rId8"/>
    <sheet state="visible" name="Informacoes" sheetId="5" r:id="rId9"/>
    <sheet state="visible" name="Clientes" sheetId="6" r:id="rId10"/>
    <sheet state="visible" name="Pedidos" sheetId="7" r:id="rId11"/>
    <sheet state="visible" name="Itens_Pedido" sheetId="8" r:id="rId12"/>
  </sheets>
  <definedNames/>
  <calcPr/>
</workbook>
</file>

<file path=xl/sharedStrings.xml><?xml version="1.0" encoding="utf-8"?>
<sst xmlns="http://schemas.openxmlformats.org/spreadsheetml/2006/main" count="1324" uniqueCount="467">
  <si>
    <t>id_produto</t>
  </si>
  <si>
    <t>categoria</t>
  </si>
  <si>
    <t>produto</t>
  </si>
  <si>
    <t>variante</t>
  </si>
  <si>
    <t>unidade_venda</t>
  </si>
  <si>
    <t>quantidade_minima</t>
  </si>
  <si>
    <t>limite_sabores</t>
  </si>
  <si>
    <t>preco</t>
  </si>
  <si>
    <t>unidade_preco</t>
  </si>
  <si>
    <t>observacoes</t>
  </si>
  <si>
    <t>P001</t>
  </si>
  <si>
    <t>Mini Cupcakes</t>
  </si>
  <si>
    <t>Mini Cupcake</t>
  </si>
  <si>
    <t>Tradicional</t>
  </si>
  <si>
    <t>unidade</t>
  </si>
  <si>
    <t>até 2 sabores</t>
  </si>
  <si>
    <t>cada</t>
  </si>
  <si>
    <t>Sem sainha. Recheio e cobertura à escolha.</t>
  </si>
  <si>
    <t>P002</t>
  </si>
  <si>
    <t>Especial</t>
  </si>
  <si>
    <t>Com sainhas e tags no tema. Recheio e cobertura à escolha.</t>
  </si>
  <si>
    <t>P003</t>
  </si>
  <si>
    <t>Cupcakes</t>
  </si>
  <si>
    <t>Cupcake</t>
  </si>
  <si>
    <t>não informado</t>
  </si>
  <si>
    <t>Recheio e cobertura à escolha. Embalagem de presente sob consulta.</t>
  </si>
  <si>
    <t>P004</t>
  </si>
  <si>
    <t>P005</t>
  </si>
  <si>
    <t>Docinhos</t>
  </si>
  <si>
    <t>Doces Tradicionais</t>
  </si>
  <si>
    <t>50 unidades</t>
  </si>
  <si>
    <t>pacote</t>
  </si>
  <si>
    <t>1 sabor</t>
  </si>
  <si>
    <t>20g; decoração com granulados comuns; confeito simples sem taxa adicional.</t>
  </si>
  <si>
    <t>P006</t>
  </si>
  <si>
    <t>100 unidades</t>
  </si>
  <si>
    <t>P007</t>
  </si>
  <si>
    <t>Doces Gourmets</t>
  </si>
  <si>
    <t>20g; granulados especiais.</t>
  </si>
  <si>
    <t>P008</t>
  </si>
  <si>
    <t>P009</t>
  </si>
  <si>
    <t>Doces Especiais</t>
  </si>
  <si>
    <t>20g; sabores especiais.</t>
  </si>
  <si>
    <t>P010</t>
  </si>
  <si>
    <t>P011</t>
  </si>
  <si>
    <t>Casquinhas de chocolate</t>
  </si>
  <si>
    <t>Casquinha</t>
  </si>
  <si>
    <t>Grupo 1 / 50 unidades</t>
  </si>
  <si>
    <t>Categoria agrupada a partir do portfólio; confirmar nomenclatura exata com a dona do ateliê.</t>
  </si>
  <si>
    <t>P012</t>
  </si>
  <si>
    <t>Grupo 1 / 100 unidades</t>
  </si>
  <si>
    <t>P013</t>
  </si>
  <si>
    <t>Grupo 2 / 50 unidades</t>
  </si>
  <si>
    <t>P014</t>
  </si>
  <si>
    <t>Grupo 2 / 100 unidades</t>
  </si>
  <si>
    <t>P015</t>
  </si>
  <si>
    <t>Grupo 3 / 50 unidades</t>
  </si>
  <si>
    <t>P016</t>
  </si>
  <si>
    <t>Grupo 3 / 100 unidades</t>
  </si>
  <si>
    <t>P017</t>
  </si>
  <si>
    <t>Bombons Trufados</t>
  </si>
  <si>
    <t>Bombom trufado</t>
  </si>
  <si>
    <t>Primeiro grupo de sabores listado no portfólio.</t>
  </si>
  <si>
    <t>P018</t>
  </si>
  <si>
    <t>P019</t>
  </si>
  <si>
    <t>Segundo grupo de sabores listado no portfólio.</t>
  </si>
  <si>
    <t>P020</t>
  </si>
  <si>
    <t>P021</t>
  </si>
  <si>
    <t>Bolos</t>
  </si>
  <si>
    <t>Bolo</t>
  </si>
  <si>
    <t>Tradicional - valor por kg</t>
  </si>
  <si>
    <t>kg</t>
  </si>
  <si>
    <t>1 recheio</t>
  </si>
  <si>
    <t>Sabores tradicionais; para 1kg, usar preço próprio.</t>
  </si>
  <si>
    <t>P022</t>
  </si>
  <si>
    <t>Tradicional - somente 1kg</t>
  </si>
  <si>
    <t>Preço específico para bolo de 1kg.</t>
  </si>
  <si>
    <t>P023</t>
  </si>
  <si>
    <t>Tradicional - 2 recheios</t>
  </si>
  <si>
    <t>2 recheios</t>
  </si>
  <si>
    <t>Preço por kg com dois recheios diferentes.</t>
  </si>
  <si>
    <t>P024</t>
  </si>
  <si>
    <t>Especial - valor por kg</t>
  </si>
  <si>
    <t>Sabores especiais; para 1kg, usar preço próprio.</t>
  </si>
  <si>
    <t>P025</t>
  </si>
  <si>
    <t>Especial - somente 1kg</t>
  </si>
  <si>
    <t>P026</t>
  </si>
  <si>
    <t>Especial - 2 recheios</t>
  </si>
  <si>
    <t>P027</t>
  </si>
  <si>
    <t>Gourmet - valor por kg</t>
  </si>
  <si>
    <t>Sabores gourmet; informado como somente a partir de 1,5kg.</t>
  </si>
  <si>
    <t>P028</t>
  </si>
  <si>
    <t>Gourmet - somente 1kg</t>
  </si>
  <si>
    <t>Preço específico para bolo de 1kg, se aceito pelo ateliê.</t>
  </si>
  <si>
    <t>P029</t>
  </si>
  <si>
    <t>Decoração</t>
  </si>
  <si>
    <t>Adicional cor forte/metalizado</t>
  </si>
  <si>
    <t>1,5kg ou 2kg</t>
  </si>
  <si>
    <t>serviço</t>
  </si>
  <si>
    <t>não se aplica</t>
  </si>
  <si>
    <t>adicional</t>
  </si>
  <si>
    <t>Adicional de decoração por cor forte ou metalizado.</t>
  </si>
  <si>
    <t>P030</t>
  </si>
  <si>
    <t>3kg ou 4kg</t>
  </si>
  <si>
    <t>P031</t>
  </si>
  <si>
    <t>5kg</t>
  </si>
  <si>
    <t>P032</t>
  </si>
  <si>
    <t>Bolo com 20cm de altura</t>
  </si>
  <si>
    <t>Adicional</t>
  </si>
  <si>
    <t>Adicional de modelo/decoração.</t>
  </si>
  <si>
    <t>P033</t>
  </si>
  <si>
    <t>Naked Cake</t>
  </si>
  <si>
    <t>id_opcao</t>
  </si>
  <si>
    <t>produto_base</t>
  </si>
  <si>
    <t>tipo_opcao</t>
  </si>
  <si>
    <t>opcao</t>
  </si>
  <si>
    <t>grupo_preco</t>
  </si>
  <si>
    <t>pagina_fonte</t>
  </si>
  <si>
    <t>S001</t>
  </si>
  <si>
    <t>Mini Cupcake Tradicional</t>
  </si>
  <si>
    <t>Recheio</t>
  </si>
  <si>
    <t>Beijinho de coco</t>
  </si>
  <si>
    <t>p.2</t>
  </si>
  <si>
    <t>S002</t>
  </si>
  <si>
    <t>Maracujá</t>
  </si>
  <si>
    <t>S003</t>
  </si>
  <si>
    <t>Brigadeiro ao leite</t>
  </si>
  <si>
    <t>S004</t>
  </si>
  <si>
    <t>Doce de leite</t>
  </si>
  <si>
    <t>S005</t>
  </si>
  <si>
    <t>Limão</t>
  </si>
  <si>
    <t>S006</t>
  </si>
  <si>
    <t>Cobertura</t>
  </si>
  <si>
    <t>Creme de moça</t>
  </si>
  <si>
    <t>S007</t>
  </si>
  <si>
    <t>Brigadeiro</t>
  </si>
  <si>
    <t>S008</t>
  </si>
  <si>
    <t>Chantininho</t>
  </si>
  <si>
    <t>S009</t>
  </si>
  <si>
    <t>Mini Cupcake Especial</t>
  </si>
  <si>
    <t>S010</t>
  </si>
  <si>
    <t>S011</t>
  </si>
  <si>
    <t>Leite ninho</t>
  </si>
  <si>
    <t>S012</t>
  </si>
  <si>
    <t>Nutella</t>
  </si>
  <si>
    <t>S013</t>
  </si>
  <si>
    <t>S014</t>
  </si>
  <si>
    <t>S015</t>
  </si>
  <si>
    <t>Brigadeiro Gourmet</t>
  </si>
  <si>
    <t>S016</t>
  </si>
  <si>
    <t>S017</t>
  </si>
  <si>
    <t>Cupcake Tradicional</t>
  </si>
  <si>
    <t>p.3</t>
  </si>
  <si>
    <t>S018</t>
  </si>
  <si>
    <t>Bicho de pé (morango)</t>
  </si>
  <si>
    <t>S019</t>
  </si>
  <si>
    <t>S020</t>
  </si>
  <si>
    <t>S021</t>
  </si>
  <si>
    <t>S022</t>
  </si>
  <si>
    <t>Creme de limão</t>
  </si>
  <si>
    <t>S023</t>
  </si>
  <si>
    <t>Creme de paçoca</t>
  </si>
  <si>
    <t>S024</t>
  </si>
  <si>
    <t>Baba de moça</t>
  </si>
  <si>
    <t>S025</t>
  </si>
  <si>
    <t>S026</t>
  </si>
  <si>
    <t>S027</t>
  </si>
  <si>
    <t>S028</t>
  </si>
  <si>
    <t>Cupcake Especial</t>
  </si>
  <si>
    <t>Creme de maracujá</t>
  </si>
  <si>
    <t>S029</t>
  </si>
  <si>
    <t>S030</t>
  </si>
  <si>
    <t>Doce de morango</t>
  </si>
  <si>
    <t>S031</t>
  </si>
  <si>
    <t>Doce de abacaxi</t>
  </si>
  <si>
    <t>S032</t>
  </si>
  <si>
    <t>Ganache de chocolate</t>
  </si>
  <si>
    <t>S033</t>
  </si>
  <si>
    <t>Ganache de chocolate meio amargo</t>
  </si>
  <si>
    <t>S034</t>
  </si>
  <si>
    <t>Creme de leite ninho</t>
  </si>
  <si>
    <t>S035</t>
  </si>
  <si>
    <t>S036</t>
  </si>
  <si>
    <t>S037</t>
  </si>
  <si>
    <t>S038</t>
  </si>
  <si>
    <t>S039</t>
  </si>
  <si>
    <t>Sabor</t>
  </si>
  <si>
    <t>Cajuzinho</t>
  </si>
  <si>
    <t>p.4</t>
  </si>
  <si>
    <t>S040</t>
  </si>
  <si>
    <t>Leite Ninho</t>
  </si>
  <si>
    <t>S041</t>
  </si>
  <si>
    <t>S042</t>
  </si>
  <si>
    <t>S043</t>
  </si>
  <si>
    <t>Gourmet</t>
  </si>
  <si>
    <t>S044</t>
  </si>
  <si>
    <t>Leite ninho c/ nutella</t>
  </si>
  <si>
    <t>S045</t>
  </si>
  <si>
    <t>Casadinho</t>
  </si>
  <si>
    <t>S046</t>
  </si>
  <si>
    <t>Ninho com uva</t>
  </si>
  <si>
    <t>S047</t>
  </si>
  <si>
    <t>Olho de sogra</t>
  </si>
  <si>
    <t>S048</t>
  </si>
  <si>
    <t>Olho de sogro</t>
  </si>
  <si>
    <t>S049</t>
  </si>
  <si>
    <t>Amendoim</t>
  </si>
  <si>
    <t>Casquinhas</t>
  </si>
  <si>
    <t>p.5</t>
  </si>
  <si>
    <t>S050</t>
  </si>
  <si>
    <t>Ameixa</t>
  </si>
  <si>
    <t>S051</t>
  </si>
  <si>
    <t>S052</t>
  </si>
  <si>
    <t>Creme de morango</t>
  </si>
  <si>
    <t>S053</t>
  </si>
  <si>
    <t>S054</t>
  </si>
  <si>
    <t>S055</t>
  </si>
  <si>
    <t>S056</t>
  </si>
  <si>
    <t>Bicho de pé</t>
  </si>
  <si>
    <t>S057</t>
  </si>
  <si>
    <t>Nozes</t>
  </si>
  <si>
    <t>S058</t>
  </si>
  <si>
    <t>Cerejas</t>
  </si>
  <si>
    <t>S059</t>
  </si>
  <si>
    <t>Castanhas</t>
  </si>
  <si>
    <t>S060</t>
  </si>
  <si>
    <t>Morango</t>
  </si>
  <si>
    <t>S061</t>
  </si>
  <si>
    <t>Ninho com nutella</t>
  </si>
  <si>
    <t>S062</t>
  </si>
  <si>
    <t>Doce de leite c/ nozes</t>
  </si>
  <si>
    <t>S063</t>
  </si>
  <si>
    <t>Doce de leite c/ ameixa</t>
  </si>
  <si>
    <t>S064</t>
  </si>
  <si>
    <t>Bombons</t>
  </si>
  <si>
    <t>p.6</t>
  </si>
  <si>
    <t>S065</t>
  </si>
  <si>
    <t>Coco</t>
  </si>
  <si>
    <t>S066</t>
  </si>
  <si>
    <t>S067</t>
  </si>
  <si>
    <t>S068</t>
  </si>
  <si>
    <t>S069</t>
  </si>
  <si>
    <t>S070</t>
  </si>
  <si>
    <t>S071</t>
  </si>
  <si>
    <t>S072</t>
  </si>
  <si>
    <t>S073</t>
  </si>
  <si>
    <t>Cereja</t>
  </si>
  <si>
    <t>S074</t>
  </si>
  <si>
    <t>S075</t>
  </si>
  <si>
    <t>S076</t>
  </si>
  <si>
    <t>S077</t>
  </si>
  <si>
    <t>S078</t>
  </si>
  <si>
    <t>Massa</t>
  </si>
  <si>
    <t>Branca Tradicional</t>
  </si>
  <si>
    <t>p.7</t>
  </si>
  <si>
    <t>S079</t>
  </si>
  <si>
    <t>Baunilha</t>
  </si>
  <si>
    <t>S080</t>
  </si>
  <si>
    <t>Chocolate</t>
  </si>
  <si>
    <t>S081</t>
  </si>
  <si>
    <t>Bolo Tradicional</t>
  </si>
  <si>
    <t>p.8</t>
  </si>
  <si>
    <t>S082</t>
  </si>
  <si>
    <t>S083</t>
  </si>
  <si>
    <t>S084</t>
  </si>
  <si>
    <t>Recheio de Nata</t>
  </si>
  <si>
    <t>S085</t>
  </si>
  <si>
    <t>Ganache de chocolate ao leite ou meio amargo</t>
  </si>
  <si>
    <t>S086</t>
  </si>
  <si>
    <t>S087</t>
  </si>
  <si>
    <t>Abacaxi</t>
  </si>
  <si>
    <t>S088</t>
  </si>
  <si>
    <t>S089</t>
  </si>
  <si>
    <t>Bolo Especial</t>
  </si>
  <si>
    <t>Baba de moça c/ abacaxi</t>
  </si>
  <si>
    <t>S090</t>
  </si>
  <si>
    <t>Baba de moça c/ morango</t>
  </si>
  <si>
    <t>S091</t>
  </si>
  <si>
    <t>Baba de moça c/ nozes</t>
  </si>
  <si>
    <t>S092</t>
  </si>
  <si>
    <t>Baba de moça c/ ameixa</t>
  </si>
  <si>
    <t>S093</t>
  </si>
  <si>
    <t>Prestígio (coco e chocolate branco)</t>
  </si>
  <si>
    <t>S094</t>
  </si>
  <si>
    <t>Brigadeiro c/ morango</t>
  </si>
  <si>
    <t>S095</t>
  </si>
  <si>
    <t>Brigadeiro c/ KitKat</t>
  </si>
  <si>
    <t>S096</t>
  </si>
  <si>
    <t>Leite ninho c/ morango</t>
  </si>
  <si>
    <t>S097</t>
  </si>
  <si>
    <t>Leite ninho c/ abacaxi</t>
  </si>
  <si>
    <t>S098</t>
  </si>
  <si>
    <t>Frutas vermelhas</t>
  </si>
  <si>
    <t>S099</t>
  </si>
  <si>
    <t>Bolo Gourmet</t>
  </si>
  <si>
    <t>Ganache com nutella</t>
  </si>
  <si>
    <t>Somente a partir de 1,5kg conforme portfólio.</t>
  </si>
  <si>
    <t>S100</t>
  </si>
  <si>
    <t>Bolo c/ KitKat (nas laterais)</t>
  </si>
  <si>
    <t>S101</t>
  </si>
  <si>
    <t>Brigadeiro gourmet</t>
  </si>
  <si>
    <t>S102</t>
  </si>
  <si>
    <t>S103</t>
  </si>
  <si>
    <t>Beijinho</t>
  </si>
  <si>
    <t>S104</t>
  </si>
  <si>
    <t>Café</t>
  </si>
  <si>
    <t>S105</t>
  </si>
  <si>
    <t>S106</t>
  </si>
  <si>
    <t>Creme de nozes</t>
  </si>
  <si>
    <t>S107</t>
  </si>
  <si>
    <t>Creme de ameixa</t>
  </si>
  <si>
    <t>S108</t>
  </si>
  <si>
    <t>S109</t>
  </si>
  <si>
    <t>Doce de leite c/ coco</t>
  </si>
  <si>
    <t>S110</t>
  </si>
  <si>
    <t>S111</t>
  </si>
  <si>
    <t>Doce de leite c/ abacaxi</t>
  </si>
  <si>
    <t>S112</t>
  </si>
  <si>
    <t>Coco c/ abacaxi</t>
  </si>
  <si>
    <t>id_tamanho</t>
  </si>
  <si>
    <t>peso_kg</t>
  </si>
  <si>
    <t>aro_cm</t>
  </si>
  <si>
    <t>serve_pessoas</t>
  </si>
  <si>
    <t>fatias_aproximadas</t>
  </si>
  <si>
    <t>T001</t>
  </si>
  <si>
    <t>8-10</t>
  </si>
  <si>
    <t>Recomendado calcular no mínimo 100g por convidado.</t>
  </si>
  <si>
    <t>T002</t>
  </si>
  <si>
    <t>13-15</t>
  </si>
  <si>
    <t>T003</t>
  </si>
  <si>
    <t>17-20</t>
  </si>
  <si>
    <t>T004</t>
  </si>
  <si>
    <t>23-25</t>
  </si>
  <si>
    <t>T005</t>
  </si>
  <si>
    <t>28-30</t>
  </si>
  <si>
    <t>T006</t>
  </si>
  <si>
    <t>38-40</t>
  </si>
  <si>
    <t>Temos aros maiores.</t>
  </si>
  <si>
    <t>id_decoracao</t>
  </si>
  <si>
    <t>tipo</t>
  </si>
  <si>
    <t>nome</t>
  </si>
  <si>
    <t>D001</t>
  </si>
  <si>
    <t>Simples</t>
  </si>
  <si>
    <t>Babados</t>
  </si>
  <si>
    <t>sem acréscimo</t>
  </si>
  <si>
    <t>Decoração simples em chantininho.</t>
  </si>
  <si>
    <t>p.9</t>
  </si>
  <si>
    <t>D002</t>
  </si>
  <si>
    <t>Guirlanda</t>
  </si>
  <si>
    <t>D003</t>
  </si>
  <si>
    <t>Jardim</t>
  </si>
  <si>
    <t>D004</t>
  </si>
  <si>
    <t>Cordinhas</t>
  </si>
  <si>
    <t>D005</t>
  </si>
  <si>
    <t>Textura</t>
  </si>
  <si>
    <t>D006</t>
  </si>
  <si>
    <t>Liso</t>
  </si>
  <si>
    <t>D007</t>
  </si>
  <si>
    <t>Espatulado</t>
  </si>
  <si>
    <t>D008</t>
  </si>
  <si>
    <t>Bolo de andar</t>
  </si>
  <si>
    <t>consultar</t>
  </si>
  <si>
    <t>Modelo listado como decoração/modelo especial.</t>
  </si>
  <si>
    <t>p.9, p.12, p.13</t>
  </si>
  <si>
    <t>D009</t>
  </si>
  <si>
    <t>Adicional por kg.</t>
  </si>
  <si>
    <t>D010</t>
  </si>
  <si>
    <t>p.9, p.12</t>
  </si>
  <si>
    <t>D011</t>
  </si>
  <si>
    <t>Unicórnio</t>
  </si>
  <si>
    <t>Modelo demonstrativo no portfólio.</t>
  </si>
  <si>
    <t>p.9, p.11</t>
  </si>
  <si>
    <t>D012</t>
  </si>
  <si>
    <t>Rococó</t>
  </si>
  <si>
    <t>D013</t>
  </si>
  <si>
    <t>Rosas</t>
  </si>
  <si>
    <t>Modelo listado.</t>
  </si>
  <si>
    <t>D014</t>
  </si>
  <si>
    <t>Drip</t>
  </si>
  <si>
    <t>D015</t>
  </si>
  <si>
    <t>Cores em degradê</t>
  </si>
  <si>
    <t>D016</t>
  </si>
  <si>
    <t>Colorido de 3 cores</t>
  </si>
  <si>
    <t>D017</t>
  </si>
  <si>
    <t>Bolo espatulado no acetato</t>
  </si>
  <si>
    <t>D018</t>
  </si>
  <si>
    <t>Cor forte/metalizado - 1,5kg ou 2kg</t>
  </si>
  <si>
    <t>Adicional por cor forte ou metalizado.</t>
  </si>
  <si>
    <t>D019</t>
  </si>
  <si>
    <t>Cor forte/metalizado - 3kg ou 4kg</t>
  </si>
  <si>
    <t>D020</t>
  </si>
  <si>
    <t>Cor forte/metalizado - 5kg</t>
  </si>
  <si>
    <t>D021</t>
  </si>
  <si>
    <t>Modelo</t>
  </si>
  <si>
    <t>Bolo com flores</t>
  </si>
  <si>
    <t>Modelo demonstrativo.</t>
  </si>
  <si>
    <t>p.11</t>
  </si>
  <si>
    <t>D022</t>
  </si>
  <si>
    <t>Bolo com ondas</t>
  </si>
  <si>
    <t>D023</t>
  </si>
  <si>
    <t>Com KitKat</t>
  </si>
  <si>
    <t>p.12</t>
  </si>
  <si>
    <t>D024</t>
  </si>
  <si>
    <t>Bolo alto</t>
  </si>
  <si>
    <t>D025</t>
  </si>
  <si>
    <t>Semi Naked Cake</t>
  </si>
  <si>
    <t>p.13</t>
  </si>
  <si>
    <t>D026</t>
  </si>
  <si>
    <t>Bolo baixo</t>
  </si>
  <si>
    <t>D027</t>
  </si>
  <si>
    <t>Temático</t>
  </si>
  <si>
    <t>campo</t>
  </si>
  <si>
    <t>informacao</t>
  </si>
  <si>
    <t>WhatsApp para encomendas</t>
  </si>
  <si>
    <t>(61) 99501-8735</t>
  </si>
  <si>
    <t>p.16</t>
  </si>
  <si>
    <t>Atendimento</t>
  </si>
  <si>
    <t>Segunda a sexta de 9h às 20h; sábado de 9h às 12h</t>
  </si>
  <si>
    <t>Retirada</t>
  </si>
  <si>
    <t>Encomendas retiradas em data e horário pré-agendado</t>
  </si>
  <si>
    <t>Formas de pagamento</t>
  </si>
  <si>
    <t>Pix, transferência bancária, cartão ou dinheiro</t>
  </si>
  <si>
    <t>Entrada para agendamento</t>
  </si>
  <si>
    <t>Agenda de produção somente após pagamento de 50% do valor definido</t>
  </si>
  <si>
    <t>Política de desistência</t>
  </si>
  <si>
    <t>Reembolso integral até 5 dias antes da data e horário agendados para retirada; após o prazo, o valor pago não será devolvido</t>
  </si>
  <si>
    <t>Endereço de retirada</t>
  </si>
  <si>
    <t>Acampamento DFL, Rua do Campo casa 5E, Vila Planalto</t>
  </si>
  <si>
    <t>Instagram</t>
  </si>
  <si>
    <t>@bolo_dapreta</t>
  </si>
  <si>
    <t>p.10, p.16</t>
  </si>
  <si>
    <t>E-mail</t>
  </si>
  <si>
    <t>lucineide.preta.lc@gmail.com</t>
  </si>
  <si>
    <t>Última atualização do menu</t>
  </si>
  <si>
    <t>19/09/2022</t>
  </si>
  <si>
    <t>id_cliente</t>
  </si>
  <si>
    <t>telefone</t>
  </si>
  <si>
    <t>C001</t>
  </si>
  <si>
    <t>Maria Silva</t>
  </si>
  <si>
    <t>(61) 99999-9999</t>
  </si>
  <si>
    <t>Retira no local</t>
  </si>
  <si>
    <t>C002</t>
  </si>
  <si>
    <t>Ana Paula</t>
  </si>
  <si>
    <t>(61) 98888-8888</t>
  </si>
  <si>
    <t>Paga cartão</t>
  </si>
  <si>
    <t>id_pedido</t>
  </si>
  <si>
    <t>data_pedido</t>
  </si>
  <si>
    <t>data_entrega</t>
  </si>
  <si>
    <t>horario_entrega</t>
  </si>
  <si>
    <t>status</t>
  </si>
  <si>
    <t>forma_pagamento</t>
  </si>
  <si>
    <t>valor_total</t>
  </si>
  <si>
    <t>sinal_50</t>
  </si>
  <si>
    <t>PED001</t>
  </si>
  <si>
    <t>15:00</t>
  </si>
  <si>
    <t>pendente</t>
  </si>
  <si>
    <t>pix</t>
  </si>
  <si>
    <t>Pedido exemplo; apagar depois</t>
  </si>
  <si>
    <t>PED002</t>
  </si>
  <si>
    <t>id_item</t>
  </si>
  <si>
    <t>quantidade</t>
  </si>
  <si>
    <t>preco_unitario</t>
  </si>
  <si>
    <t>subtotal</t>
  </si>
  <si>
    <t>I001</t>
  </si>
  <si>
    <t>Item exemplo; apagar depois</t>
  </si>
  <si>
    <t>I002</t>
  </si>
  <si>
    <t>Casquinhas de Chocolate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</si>
</sst>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R$ #,##0.00"/>
    <numFmt numFmtId="165" formatCode="dd/mm/yyyy"/>
    <numFmt numFmtId="166" formatCode="hh:mm"/>
  </numFmts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6B3F2A"/>
        <bgColor rgb="FF6B3F2A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3" fontId="2" numFmtId="0" xfId="0" applyFont="1"/>
    <xf borderId="0" fillId="0" fontId="2" numFmtId="0" xfId="0" applyFont="1"/>
    <xf borderId="0" fillId="0" fontId="3" numFmtId="164" xfId="0" applyFont="1" applyNumberForma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8">
    <tableStyle count="3" pivot="0" name="Produtos-style">
      <tableStyleElement dxfId="1" type="headerRow"/>
      <tableStyleElement dxfId="2" type="firstRowStripe"/>
      <tableStyleElement dxfId="3" type="secondRowStripe"/>
    </tableStyle>
    <tableStyle count="3" pivot="0" name="Sabores_Opcoes-style">
      <tableStyleElement dxfId="1" type="headerRow"/>
      <tableStyleElement dxfId="2" type="firstRowStripe"/>
      <tableStyleElement dxfId="3" type="secondRowStripe"/>
    </tableStyle>
    <tableStyle count="3" pivot="0" name="Tamanhos_Bolos-style">
      <tableStyleElement dxfId="1" type="headerRow"/>
      <tableStyleElement dxfId="2" type="firstRowStripe"/>
      <tableStyleElement dxfId="3" type="secondRowStripe"/>
    </tableStyle>
    <tableStyle count="3" pivot="0" name="Decoracoes-style">
      <tableStyleElement dxfId="1" type="headerRow"/>
      <tableStyleElement dxfId="2" type="firstRowStripe"/>
      <tableStyleElement dxfId="3" type="secondRowStripe"/>
    </tableStyle>
    <tableStyle count="3" pivot="0" name="Informacoes-style">
      <tableStyleElement dxfId="1" type="headerRow"/>
      <tableStyleElement dxfId="2" type="firstRowStripe"/>
      <tableStyleElement dxfId="3" type="secondRowStripe"/>
    </tableStyle>
    <tableStyle count="3" pivot="0" name="Clientes-style">
      <tableStyleElement dxfId="1" type="headerRow"/>
      <tableStyleElement dxfId="2" type="firstRowStripe"/>
      <tableStyleElement dxfId="3" type="secondRowStripe"/>
    </tableStyle>
    <tableStyle count="3" pivot="0" name="Pedidos-style">
      <tableStyleElement dxfId="1" type="headerRow"/>
      <tableStyleElement dxfId="2" type="firstRowStripe"/>
      <tableStyleElement dxfId="3" type="secondRowStripe"/>
    </tableStyle>
    <tableStyle count="3" pivot="0" name="Itens_Pedid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K34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rodut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H113" displayName="Table_2" name="Table_2" id="2">
  <tableColumns count="8">
    <tableColumn name="id_opcao" id="1"/>
    <tableColumn name="categoria" id="2"/>
    <tableColumn name="produto_base" id="3"/>
    <tableColumn name="tipo_opcao" id="4"/>
    <tableColumn name="opcao" id="5"/>
    <tableColumn name="grupo_preco" id="6"/>
    <tableColumn name="observacoes" id="7"/>
    <tableColumn name="pagina_fonte" id="8"/>
  </tableColumns>
  <tableStyleInfo name="Sabores_Opcoes-style" showColumnStripes="0" showFirstColumn="1" showLastColumn="1" showRowStripes="1"/>
</table>
</file>

<file path=xl/tables/table3.xml><?xml version="1.0" encoding="utf-8"?>
<table xmlns="http://schemas.openxmlformats.org/spreadsheetml/2006/main" ref="A1:G7" displayName="Table_3" name="Table_3" id="3">
  <tableColumns count="7">
    <tableColumn name="id_tamanho" id="1"/>
    <tableColumn name="peso_kg" id="2"/>
    <tableColumn name="aro_cm" id="3"/>
    <tableColumn name="serve_pessoas" id="4"/>
    <tableColumn name="fatias_aproximadas" id="5"/>
    <tableColumn name="observacoes" id="6"/>
    <tableColumn name="pagina_fonte" id="7"/>
  </tableColumns>
  <tableStyleInfo name="Tamanhos_Bolos-style" showColumnStripes="0" showFirstColumn="1" showLastColumn="1" showRowStripes="1"/>
</table>
</file>

<file path=xl/tables/table4.xml><?xml version="1.0" encoding="utf-8"?>
<table xmlns="http://schemas.openxmlformats.org/spreadsheetml/2006/main" ref="A1:G28" displayName="Table_4" name="Table_4" id="4">
  <tableColumns count="7">
    <tableColumn name="id_decoracao" id="1"/>
    <tableColumn name="tipo" id="2"/>
    <tableColumn name="nome" id="3"/>
    <tableColumn name="preco" id="4"/>
    <tableColumn name="unidade_preco" id="5"/>
    <tableColumn name="observacoes" id="6"/>
    <tableColumn name="pagina_fonte" id="7"/>
  </tableColumns>
  <tableStyleInfo name="Decoracoes-style" showColumnStripes="0" showFirstColumn="1" showLastColumn="1" showRowStripes="1"/>
</table>
</file>

<file path=xl/tables/table5.xml><?xml version="1.0" encoding="utf-8"?>
<table xmlns="http://schemas.openxmlformats.org/spreadsheetml/2006/main" ref="A1:C11" displayName="Table_5" name="Table_5" id="5">
  <tableColumns count="3">
    <tableColumn name="campo" id="1"/>
    <tableColumn name="informacao" id="2"/>
    <tableColumn name="pagina_fonte" id="3"/>
  </tableColumns>
  <tableStyleInfo name="Informacoes-style" showColumnStripes="0" showFirstColumn="1" showLastColumn="1" showRowStripes="1"/>
</table>
</file>

<file path=xl/tables/table6.xml><?xml version="1.0" encoding="utf-8"?>
<table xmlns="http://schemas.openxmlformats.org/spreadsheetml/2006/main" ref="A1:D20" displayName="Table_6" name="Table_6" id="6">
  <tableColumns count="4">
    <tableColumn name="id_cliente" id="1"/>
    <tableColumn name="nome" id="2"/>
    <tableColumn name="telefone" id="3"/>
    <tableColumn name="observacoes" id="4"/>
  </tableColumns>
  <tableStyleInfo name="Clientes-style" showColumnStripes="0" showFirstColumn="1" showLastColumn="1" showRowStripes="1"/>
</table>
</file>

<file path=xl/tables/table7.xml><?xml version="1.0" encoding="utf-8"?>
<table xmlns="http://schemas.openxmlformats.org/spreadsheetml/2006/main" ref="A1:J100" displayName="Table_7" name="Table_7" id="7">
  <tableColumns count="10">
    <tableColumn name="id_pedido" id="1"/>
    <tableColumn name="id_cliente" id="2"/>
    <tableColumn name="data_pedido" id="3"/>
    <tableColumn name="data_entrega" id="4"/>
    <tableColumn name="horario_entrega" id="5"/>
    <tableColumn name="status" id="6"/>
    <tableColumn name="forma_pagamento" id="7"/>
    <tableColumn name="valor_total" id="8"/>
    <tableColumn name="sinal_50" id="9"/>
    <tableColumn name="observacoes" id="10"/>
  </tableColumns>
  <tableStyleInfo name="Pedidos-style" showColumnStripes="0" showFirstColumn="1" showLastColumn="1" showRowStripes="1"/>
</table>
</file>

<file path=xl/tables/table8.xml><?xml version="1.0" encoding="utf-8"?>
<table xmlns="http://schemas.openxmlformats.org/spreadsheetml/2006/main" ref="A1:I200" displayName="Table_8" name="Table_8" id="8">
  <tableColumns count="9">
    <tableColumn name="id_item" id="1"/>
    <tableColumn name="id_pedido" id="2"/>
    <tableColumn name="id_produto" id="3"/>
    <tableColumn name="produto" id="4"/>
    <tableColumn name="quantidade" id="5"/>
    <tableColumn name="unidade" id="6"/>
    <tableColumn name="preco_unitario" id="7"/>
    <tableColumn name="subtotal" id="8"/>
    <tableColumn name="observacoes" id="9"/>
  </tableColumns>
  <tableStyleInfo name="Itens_Pedi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4" width="28.0"/>
    <col customWidth="1" min="5" max="6" width="16.0"/>
    <col customWidth="1" min="7" max="7" width="18.0"/>
    <col customWidth="1" min="8" max="8" width="12.0"/>
    <col customWidth="1" min="9" max="9" width="14.0"/>
    <col customWidth="1" min="10" max="10" width="44.0"/>
    <col customWidth="1" min="11" max="11" width="12.0"/>
    <col customWidth="1" min="12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3"/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12.0</v>
      </c>
      <c r="G2" s="4" t="s">
        <v>15</v>
      </c>
      <c r="H2" s="5">
        <v>4.0</v>
      </c>
      <c r="I2" s="4" t="s">
        <v>16</v>
      </c>
      <c r="J2" s="4" t="s">
        <v>17</v>
      </c>
      <c r="K2" s="3"/>
      <c r="L2" s="3"/>
    </row>
    <row r="3">
      <c r="A3" s="4" t="s">
        <v>18</v>
      </c>
      <c r="B3" s="4" t="s">
        <v>11</v>
      </c>
      <c r="C3" s="4" t="s">
        <v>12</v>
      </c>
      <c r="D3" s="4" t="s">
        <v>19</v>
      </c>
      <c r="E3" s="4" t="s">
        <v>14</v>
      </c>
      <c r="F3" s="4">
        <v>12.0</v>
      </c>
      <c r="G3" s="4" t="s">
        <v>15</v>
      </c>
      <c r="H3" s="5">
        <v>5.0</v>
      </c>
      <c r="I3" s="4" t="s">
        <v>16</v>
      </c>
      <c r="J3" s="4" t="s">
        <v>20</v>
      </c>
      <c r="K3" s="3"/>
      <c r="L3" s="3"/>
    </row>
    <row r="4">
      <c r="A4" s="4" t="s">
        <v>21</v>
      </c>
      <c r="B4" s="4" t="s">
        <v>22</v>
      </c>
      <c r="C4" s="4" t="s">
        <v>23</v>
      </c>
      <c r="D4" s="4" t="s">
        <v>13</v>
      </c>
      <c r="E4" s="4" t="s">
        <v>14</v>
      </c>
      <c r="F4" s="4">
        <v>10.0</v>
      </c>
      <c r="G4" s="4" t="s">
        <v>24</v>
      </c>
      <c r="H4" s="5">
        <v>8.0</v>
      </c>
      <c r="I4" s="4" t="s">
        <v>16</v>
      </c>
      <c r="J4" s="4" t="s">
        <v>25</v>
      </c>
      <c r="K4" s="3"/>
      <c r="L4" s="3"/>
    </row>
    <row r="5">
      <c r="A5" s="4" t="s">
        <v>26</v>
      </c>
      <c r="B5" s="4" t="s">
        <v>22</v>
      </c>
      <c r="C5" s="4" t="s">
        <v>23</v>
      </c>
      <c r="D5" s="4" t="s">
        <v>19</v>
      </c>
      <c r="E5" s="4" t="s">
        <v>14</v>
      </c>
      <c r="F5" s="4">
        <v>10.0</v>
      </c>
      <c r="G5" s="4" t="s">
        <v>24</v>
      </c>
      <c r="H5" s="5">
        <v>9.0</v>
      </c>
      <c r="I5" s="4" t="s">
        <v>16</v>
      </c>
      <c r="J5" s="4" t="s">
        <v>25</v>
      </c>
      <c r="K5" s="3"/>
      <c r="L5" s="3"/>
    </row>
    <row r="6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>
        <v>50.0</v>
      </c>
      <c r="G6" s="4" t="s">
        <v>32</v>
      </c>
      <c r="H6" s="5">
        <v>110.0</v>
      </c>
      <c r="I6" s="4" t="s">
        <v>31</v>
      </c>
      <c r="J6" s="4" t="s">
        <v>33</v>
      </c>
      <c r="K6" s="3"/>
      <c r="L6" s="3"/>
    </row>
    <row r="7">
      <c r="A7" s="4" t="s">
        <v>34</v>
      </c>
      <c r="B7" s="4" t="s">
        <v>28</v>
      </c>
      <c r="C7" s="4" t="s">
        <v>29</v>
      </c>
      <c r="D7" s="4" t="s">
        <v>35</v>
      </c>
      <c r="E7" s="4" t="s">
        <v>31</v>
      </c>
      <c r="F7" s="4">
        <v>100.0</v>
      </c>
      <c r="G7" s="4" t="s">
        <v>15</v>
      </c>
      <c r="H7" s="5">
        <v>200.0</v>
      </c>
      <c r="I7" s="4" t="s">
        <v>31</v>
      </c>
      <c r="J7" s="4" t="s">
        <v>33</v>
      </c>
      <c r="K7" s="3"/>
      <c r="L7" s="3"/>
    </row>
    <row r="8">
      <c r="A8" s="4" t="s">
        <v>36</v>
      </c>
      <c r="B8" s="4" t="s">
        <v>28</v>
      </c>
      <c r="C8" s="4" t="s">
        <v>37</v>
      </c>
      <c r="D8" s="4" t="s">
        <v>30</v>
      </c>
      <c r="E8" s="4" t="s">
        <v>31</v>
      </c>
      <c r="F8" s="4">
        <v>50.0</v>
      </c>
      <c r="G8" s="4" t="s">
        <v>32</v>
      </c>
      <c r="H8" s="5">
        <v>130.0</v>
      </c>
      <c r="I8" s="4" t="s">
        <v>31</v>
      </c>
      <c r="J8" s="4" t="s">
        <v>38</v>
      </c>
      <c r="K8" s="3"/>
      <c r="L8" s="3"/>
    </row>
    <row r="9">
      <c r="A9" s="4" t="s">
        <v>39</v>
      </c>
      <c r="B9" s="4" t="s">
        <v>28</v>
      </c>
      <c r="C9" s="4" t="s">
        <v>37</v>
      </c>
      <c r="D9" s="4" t="s">
        <v>35</v>
      </c>
      <c r="E9" s="4" t="s">
        <v>31</v>
      </c>
      <c r="F9" s="4">
        <v>100.0</v>
      </c>
      <c r="G9" s="4" t="s">
        <v>15</v>
      </c>
      <c r="H9" s="5">
        <v>250.0</v>
      </c>
      <c r="I9" s="4" t="s">
        <v>31</v>
      </c>
      <c r="J9" s="4" t="s">
        <v>38</v>
      </c>
      <c r="K9" s="3"/>
      <c r="L9" s="3"/>
    </row>
    <row r="10">
      <c r="A10" s="4" t="s">
        <v>40</v>
      </c>
      <c r="B10" s="4" t="s">
        <v>28</v>
      </c>
      <c r="C10" s="4" t="s">
        <v>41</v>
      </c>
      <c r="D10" s="4" t="s">
        <v>30</v>
      </c>
      <c r="E10" s="4" t="s">
        <v>31</v>
      </c>
      <c r="F10" s="4">
        <v>50.0</v>
      </c>
      <c r="G10" s="4" t="s">
        <v>32</v>
      </c>
      <c r="H10" s="5">
        <v>140.0</v>
      </c>
      <c r="I10" s="4" t="s">
        <v>31</v>
      </c>
      <c r="J10" s="4" t="s">
        <v>42</v>
      </c>
      <c r="K10" s="3"/>
      <c r="L10" s="3"/>
    </row>
    <row r="11">
      <c r="A11" s="4" t="s">
        <v>43</v>
      </c>
      <c r="B11" s="4" t="s">
        <v>28</v>
      </c>
      <c r="C11" s="4" t="s">
        <v>41</v>
      </c>
      <c r="D11" s="4" t="s">
        <v>35</v>
      </c>
      <c r="E11" s="4" t="s">
        <v>31</v>
      </c>
      <c r="F11" s="4">
        <v>100.0</v>
      </c>
      <c r="G11" s="4" t="s">
        <v>15</v>
      </c>
      <c r="H11" s="5">
        <v>270.0</v>
      </c>
      <c r="I11" s="4" t="s">
        <v>31</v>
      </c>
      <c r="J11" s="4" t="s">
        <v>42</v>
      </c>
      <c r="K11" s="3"/>
      <c r="L11" s="3"/>
    </row>
    <row r="12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31</v>
      </c>
      <c r="F12" s="4">
        <v>50.0</v>
      </c>
      <c r="G12" s="4" t="s">
        <v>24</v>
      </c>
      <c r="H12" s="5">
        <v>115.0</v>
      </c>
      <c r="I12" s="4" t="s">
        <v>31</v>
      </c>
      <c r="J12" s="4" t="s">
        <v>48</v>
      </c>
      <c r="K12" s="3"/>
      <c r="L12" s="3"/>
    </row>
    <row r="13">
      <c r="A13" s="4" t="s">
        <v>49</v>
      </c>
      <c r="B13" s="4" t="s">
        <v>45</v>
      </c>
      <c r="C13" s="4" t="s">
        <v>46</v>
      </c>
      <c r="D13" s="4" t="s">
        <v>50</v>
      </c>
      <c r="E13" s="4" t="s">
        <v>31</v>
      </c>
      <c r="F13" s="4">
        <v>100.0</v>
      </c>
      <c r="G13" s="4" t="s">
        <v>24</v>
      </c>
      <c r="H13" s="5">
        <v>220.0</v>
      </c>
      <c r="I13" s="4" t="s">
        <v>31</v>
      </c>
      <c r="J13" s="4" t="s">
        <v>48</v>
      </c>
      <c r="K13" s="3"/>
      <c r="L13" s="3"/>
    </row>
    <row r="14">
      <c r="A14" s="4" t="s">
        <v>51</v>
      </c>
      <c r="B14" s="4" t="s">
        <v>45</v>
      </c>
      <c r="C14" s="4" t="s">
        <v>46</v>
      </c>
      <c r="D14" s="4" t="s">
        <v>52</v>
      </c>
      <c r="E14" s="4" t="s">
        <v>31</v>
      </c>
      <c r="F14" s="4">
        <v>50.0</v>
      </c>
      <c r="G14" s="4" t="s">
        <v>24</v>
      </c>
      <c r="H14" s="5">
        <v>125.0</v>
      </c>
      <c r="I14" s="4" t="s">
        <v>31</v>
      </c>
      <c r="J14" s="4" t="s">
        <v>48</v>
      </c>
      <c r="K14" s="3"/>
      <c r="L14" s="3"/>
    </row>
    <row r="15">
      <c r="A15" s="4" t="s">
        <v>53</v>
      </c>
      <c r="B15" s="4" t="s">
        <v>45</v>
      </c>
      <c r="C15" s="4" t="s">
        <v>46</v>
      </c>
      <c r="D15" s="4" t="s">
        <v>54</v>
      </c>
      <c r="E15" s="4" t="s">
        <v>31</v>
      </c>
      <c r="F15" s="4">
        <v>100.0</v>
      </c>
      <c r="G15" s="4" t="s">
        <v>24</v>
      </c>
      <c r="H15" s="5">
        <v>240.0</v>
      </c>
      <c r="I15" s="4" t="s">
        <v>31</v>
      </c>
      <c r="J15" s="4" t="s">
        <v>48</v>
      </c>
      <c r="K15" s="3"/>
      <c r="L15" s="3"/>
    </row>
    <row r="16">
      <c r="A16" s="4" t="s">
        <v>55</v>
      </c>
      <c r="B16" s="4" t="s">
        <v>45</v>
      </c>
      <c r="C16" s="4" t="s">
        <v>46</v>
      </c>
      <c r="D16" s="4" t="s">
        <v>56</v>
      </c>
      <c r="E16" s="4" t="s">
        <v>31</v>
      </c>
      <c r="F16" s="4">
        <v>50.0</v>
      </c>
      <c r="G16" s="4" t="s">
        <v>24</v>
      </c>
      <c r="H16" s="5">
        <v>135.0</v>
      </c>
      <c r="I16" s="4" t="s">
        <v>31</v>
      </c>
      <c r="J16" s="4" t="s">
        <v>48</v>
      </c>
      <c r="K16" s="3"/>
      <c r="L16" s="3"/>
    </row>
    <row r="17">
      <c r="A17" s="4" t="s">
        <v>57</v>
      </c>
      <c r="B17" s="4" t="s">
        <v>45</v>
      </c>
      <c r="C17" s="4" t="s">
        <v>46</v>
      </c>
      <c r="D17" s="4" t="s">
        <v>58</v>
      </c>
      <c r="E17" s="4" t="s">
        <v>31</v>
      </c>
      <c r="F17" s="4">
        <v>100.0</v>
      </c>
      <c r="G17" s="4" t="s">
        <v>24</v>
      </c>
      <c r="H17" s="5">
        <v>260.0</v>
      </c>
      <c r="I17" s="4" t="s">
        <v>31</v>
      </c>
      <c r="J17" s="4" t="s">
        <v>48</v>
      </c>
      <c r="K17" s="3"/>
      <c r="L17" s="3"/>
    </row>
    <row r="18">
      <c r="A18" s="4" t="s">
        <v>59</v>
      </c>
      <c r="B18" s="4" t="s">
        <v>60</v>
      </c>
      <c r="C18" s="4" t="s">
        <v>61</v>
      </c>
      <c r="D18" s="4" t="s">
        <v>47</v>
      </c>
      <c r="E18" s="4" t="s">
        <v>31</v>
      </c>
      <c r="F18" s="4">
        <v>50.0</v>
      </c>
      <c r="G18" s="4" t="s">
        <v>24</v>
      </c>
      <c r="H18" s="5">
        <v>150.0</v>
      </c>
      <c r="I18" s="4" t="s">
        <v>31</v>
      </c>
      <c r="J18" s="4" t="s">
        <v>62</v>
      </c>
      <c r="K18" s="3"/>
      <c r="L18" s="3"/>
    </row>
    <row r="19">
      <c r="A19" s="4" t="s">
        <v>63</v>
      </c>
      <c r="B19" s="4" t="s">
        <v>60</v>
      </c>
      <c r="C19" s="4" t="s">
        <v>61</v>
      </c>
      <c r="D19" s="4" t="s">
        <v>50</v>
      </c>
      <c r="E19" s="4" t="s">
        <v>31</v>
      </c>
      <c r="F19" s="4">
        <v>100.0</v>
      </c>
      <c r="G19" s="4" t="s">
        <v>24</v>
      </c>
      <c r="H19" s="5">
        <v>280.0</v>
      </c>
      <c r="I19" s="4" t="s">
        <v>31</v>
      </c>
      <c r="J19" s="4" t="s">
        <v>62</v>
      </c>
      <c r="K19" s="3"/>
      <c r="L19" s="3"/>
    </row>
    <row r="20">
      <c r="A20" s="4" t="s">
        <v>64</v>
      </c>
      <c r="B20" s="4" t="s">
        <v>60</v>
      </c>
      <c r="C20" s="4" t="s">
        <v>61</v>
      </c>
      <c r="D20" s="4" t="s">
        <v>52</v>
      </c>
      <c r="E20" s="4" t="s">
        <v>31</v>
      </c>
      <c r="F20" s="4">
        <v>50.0</v>
      </c>
      <c r="G20" s="4" t="s">
        <v>24</v>
      </c>
      <c r="H20" s="5">
        <v>160.0</v>
      </c>
      <c r="I20" s="4" t="s">
        <v>31</v>
      </c>
      <c r="J20" s="4" t="s">
        <v>65</v>
      </c>
      <c r="K20" s="3"/>
      <c r="L20" s="3"/>
    </row>
    <row r="21" ht="15.75" customHeight="1">
      <c r="A21" s="4" t="s">
        <v>66</v>
      </c>
      <c r="B21" s="4" t="s">
        <v>60</v>
      </c>
      <c r="C21" s="4" t="s">
        <v>61</v>
      </c>
      <c r="D21" s="4" t="s">
        <v>54</v>
      </c>
      <c r="E21" s="4" t="s">
        <v>31</v>
      </c>
      <c r="F21" s="4">
        <v>100.0</v>
      </c>
      <c r="G21" s="4" t="s">
        <v>24</v>
      </c>
      <c r="H21" s="5">
        <v>290.0</v>
      </c>
      <c r="I21" s="4" t="s">
        <v>31</v>
      </c>
      <c r="J21" s="4" t="s">
        <v>65</v>
      </c>
      <c r="K21" s="3"/>
      <c r="L21" s="3"/>
    </row>
    <row r="22" ht="15.75" customHeight="1">
      <c r="A22" s="4" t="s">
        <v>67</v>
      </c>
      <c r="B22" s="4" t="s">
        <v>68</v>
      </c>
      <c r="C22" s="4" t="s">
        <v>69</v>
      </c>
      <c r="D22" s="4" t="s">
        <v>70</v>
      </c>
      <c r="E22" s="4" t="s">
        <v>71</v>
      </c>
      <c r="F22" s="4">
        <v>1.0</v>
      </c>
      <c r="G22" s="4" t="s">
        <v>72</v>
      </c>
      <c r="H22" s="5">
        <v>95.0</v>
      </c>
      <c r="I22" s="4" t="s">
        <v>71</v>
      </c>
      <c r="J22" s="4" t="s">
        <v>73</v>
      </c>
      <c r="K22" s="3"/>
      <c r="L22" s="3"/>
    </row>
    <row r="23" ht="15.75" customHeight="1">
      <c r="A23" s="4" t="s">
        <v>74</v>
      </c>
      <c r="B23" s="4" t="s">
        <v>68</v>
      </c>
      <c r="C23" s="4" t="s">
        <v>69</v>
      </c>
      <c r="D23" s="4" t="s">
        <v>75</v>
      </c>
      <c r="E23" s="4" t="s">
        <v>71</v>
      </c>
      <c r="F23" s="4">
        <v>1.0</v>
      </c>
      <c r="G23" s="4" t="s">
        <v>72</v>
      </c>
      <c r="H23" s="5">
        <v>105.0</v>
      </c>
      <c r="I23" s="4" t="s">
        <v>71</v>
      </c>
      <c r="J23" s="4" t="s">
        <v>76</v>
      </c>
      <c r="K23" s="3"/>
      <c r="L23" s="3"/>
    </row>
    <row r="24" ht="15.75" customHeight="1">
      <c r="A24" s="4" t="s">
        <v>77</v>
      </c>
      <c r="B24" s="4" t="s">
        <v>68</v>
      </c>
      <c r="C24" s="4" t="s">
        <v>69</v>
      </c>
      <c r="D24" s="4" t="s">
        <v>78</v>
      </c>
      <c r="E24" s="4" t="s">
        <v>71</v>
      </c>
      <c r="F24" s="4">
        <v>1.0</v>
      </c>
      <c r="G24" s="4" t="s">
        <v>79</v>
      </c>
      <c r="H24" s="5">
        <v>100.0</v>
      </c>
      <c r="I24" s="4" t="s">
        <v>71</v>
      </c>
      <c r="J24" s="4" t="s">
        <v>80</v>
      </c>
      <c r="K24" s="3"/>
      <c r="L24" s="3"/>
    </row>
    <row r="25" ht="15.75" customHeight="1">
      <c r="A25" s="4" t="s">
        <v>81</v>
      </c>
      <c r="B25" s="4" t="s">
        <v>68</v>
      </c>
      <c r="C25" s="4" t="s">
        <v>69</v>
      </c>
      <c r="D25" s="4" t="s">
        <v>82</v>
      </c>
      <c r="E25" s="4" t="s">
        <v>71</v>
      </c>
      <c r="F25" s="4">
        <v>1.0</v>
      </c>
      <c r="G25" s="4" t="s">
        <v>72</v>
      </c>
      <c r="H25" s="5">
        <v>100.0</v>
      </c>
      <c r="I25" s="4" t="s">
        <v>71</v>
      </c>
      <c r="J25" s="4" t="s">
        <v>83</v>
      </c>
      <c r="K25" s="3"/>
      <c r="L25" s="3"/>
    </row>
    <row r="26" ht="15.75" customHeight="1">
      <c r="A26" s="4" t="s">
        <v>84</v>
      </c>
      <c r="B26" s="4" t="s">
        <v>68</v>
      </c>
      <c r="C26" s="4" t="s">
        <v>69</v>
      </c>
      <c r="D26" s="4" t="s">
        <v>85</v>
      </c>
      <c r="E26" s="4" t="s">
        <v>71</v>
      </c>
      <c r="F26" s="4">
        <v>1.0</v>
      </c>
      <c r="G26" s="4" t="s">
        <v>72</v>
      </c>
      <c r="H26" s="5">
        <v>110.0</v>
      </c>
      <c r="I26" s="4" t="s">
        <v>71</v>
      </c>
      <c r="J26" s="4" t="s">
        <v>76</v>
      </c>
      <c r="K26" s="3"/>
      <c r="L26" s="3"/>
    </row>
    <row r="27" ht="15.75" customHeight="1">
      <c r="A27" s="4" t="s">
        <v>86</v>
      </c>
      <c r="B27" s="4" t="s">
        <v>68</v>
      </c>
      <c r="C27" s="4" t="s">
        <v>69</v>
      </c>
      <c r="D27" s="4" t="s">
        <v>87</v>
      </c>
      <c r="E27" s="4" t="s">
        <v>71</v>
      </c>
      <c r="F27" s="4">
        <v>1.0</v>
      </c>
      <c r="G27" s="4" t="s">
        <v>79</v>
      </c>
      <c r="H27" s="5">
        <v>115.0</v>
      </c>
      <c r="I27" s="4" t="s">
        <v>71</v>
      </c>
      <c r="J27" s="4" t="s">
        <v>80</v>
      </c>
      <c r="K27" s="3"/>
      <c r="L27" s="3"/>
    </row>
    <row r="28" ht="15.75" customHeight="1">
      <c r="A28" s="4" t="s">
        <v>88</v>
      </c>
      <c r="B28" s="4" t="s">
        <v>68</v>
      </c>
      <c r="C28" s="4" t="s">
        <v>69</v>
      </c>
      <c r="D28" s="4" t="s">
        <v>89</v>
      </c>
      <c r="E28" s="4" t="s">
        <v>71</v>
      </c>
      <c r="F28" s="4">
        <v>1.5</v>
      </c>
      <c r="G28" s="4" t="s">
        <v>72</v>
      </c>
      <c r="H28" s="5">
        <v>120.0</v>
      </c>
      <c r="I28" s="4" t="s">
        <v>71</v>
      </c>
      <c r="J28" s="4" t="s">
        <v>90</v>
      </c>
      <c r="K28" s="3"/>
      <c r="L28" s="3"/>
    </row>
    <row r="29" ht="15.75" customHeight="1">
      <c r="A29" s="4" t="s">
        <v>91</v>
      </c>
      <c r="B29" s="4" t="s">
        <v>68</v>
      </c>
      <c r="C29" s="4" t="s">
        <v>69</v>
      </c>
      <c r="D29" s="4" t="s">
        <v>92</v>
      </c>
      <c r="E29" s="4" t="s">
        <v>71</v>
      </c>
      <c r="F29" s="4">
        <v>1.0</v>
      </c>
      <c r="G29" s="4" t="s">
        <v>72</v>
      </c>
      <c r="H29" s="5">
        <v>130.0</v>
      </c>
      <c r="I29" s="4" t="s">
        <v>71</v>
      </c>
      <c r="J29" s="4" t="s">
        <v>93</v>
      </c>
      <c r="K29" s="3"/>
      <c r="L29" s="3"/>
    </row>
    <row r="30" ht="15.75" customHeight="1">
      <c r="A30" s="4" t="s">
        <v>94</v>
      </c>
      <c r="B30" s="4" t="s">
        <v>95</v>
      </c>
      <c r="C30" s="4" t="s">
        <v>96</v>
      </c>
      <c r="D30" s="4" t="s">
        <v>97</v>
      </c>
      <c r="E30" s="4" t="s">
        <v>98</v>
      </c>
      <c r="F30" s="4">
        <v>1.0</v>
      </c>
      <c r="G30" s="4" t="s">
        <v>99</v>
      </c>
      <c r="H30" s="5">
        <v>5.0</v>
      </c>
      <c r="I30" s="4" t="s">
        <v>100</v>
      </c>
      <c r="J30" s="4" t="s">
        <v>101</v>
      </c>
      <c r="K30" s="3"/>
      <c r="L30" s="3"/>
    </row>
    <row r="31" ht="15.75" customHeight="1">
      <c r="A31" s="4" t="s">
        <v>102</v>
      </c>
      <c r="B31" s="4" t="s">
        <v>95</v>
      </c>
      <c r="C31" s="4" t="s">
        <v>96</v>
      </c>
      <c r="D31" s="4" t="s">
        <v>103</v>
      </c>
      <c r="E31" s="4" t="s">
        <v>98</v>
      </c>
      <c r="F31" s="4">
        <v>1.0</v>
      </c>
      <c r="G31" s="4" t="s">
        <v>99</v>
      </c>
      <c r="H31" s="5">
        <v>8.0</v>
      </c>
      <c r="I31" s="4" t="s">
        <v>100</v>
      </c>
      <c r="J31" s="4" t="s">
        <v>101</v>
      </c>
      <c r="K31" s="3"/>
      <c r="L31" s="3"/>
    </row>
    <row r="32" ht="15.75" customHeight="1">
      <c r="A32" s="4" t="s">
        <v>104</v>
      </c>
      <c r="B32" s="4" t="s">
        <v>95</v>
      </c>
      <c r="C32" s="4" t="s">
        <v>96</v>
      </c>
      <c r="D32" s="4" t="s">
        <v>105</v>
      </c>
      <c r="E32" s="4" t="s">
        <v>98</v>
      </c>
      <c r="F32" s="4">
        <v>1.0</v>
      </c>
      <c r="G32" s="4" t="s">
        <v>99</v>
      </c>
      <c r="H32" s="5">
        <v>12.0</v>
      </c>
      <c r="I32" s="4" t="s">
        <v>100</v>
      </c>
      <c r="J32" s="4" t="s">
        <v>101</v>
      </c>
      <c r="K32" s="3"/>
      <c r="L32" s="3"/>
    </row>
    <row r="33" ht="15.75" customHeight="1">
      <c r="A33" s="4" t="s">
        <v>106</v>
      </c>
      <c r="B33" s="4" t="s">
        <v>95</v>
      </c>
      <c r="C33" s="4" t="s">
        <v>107</v>
      </c>
      <c r="D33" s="4" t="s">
        <v>108</v>
      </c>
      <c r="E33" s="4" t="s">
        <v>71</v>
      </c>
      <c r="F33" s="4">
        <v>1.0</v>
      </c>
      <c r="G33" s="4" t="s">
        <v>99</v>
      </c>
      <c r="H33" s="5">
        <v>5.0</v>
      </c>
      <c r="I33" s="4" t="s">
        <v>71</v>
      </c>
      <c r="J33" s="4" t="s">
        <v>109</v>
      </c>
      <c r="K33" s="3"/>
      <c r="L33" s="3"/>
    </row>
    <row r="34" ht="15.75" customHeight="1">
      <c r="A34" s="4" t="s">
        <v>110</v>
      </c>
      <c r="B34" s="4" t="s">
        <v>95</v>
      </c>
      <c r="C34" s="4" t="s">
        <v>111</v>
      </c>
      <c r="D34" s="4" t="s">
        <v>108</v>
      </c>
      <c r="E34" s="4" t="s">
        <v>71</v>
      </c>
      <c r="F34" s="4">
        <v>1.0</v>
      </c>
      <c r="G34" s="4" t="s">
        <v>99</v>
      </c>
      <c r="H34" s="5">
        <v>10.0</v>
      </c>
      <c r="I34" s="4" t="s">
        <v>71</v>
      </c>
      <c r="J34" s="4" t="s">
        <v>109</v>
      </c>
      <c r="K34" s="3"/>
      <c r="L34" s="3"/>
    </row>
    <row r="35" ht="15.75" customHeight="1">
      <c r="H35" s="6"/>
      <c r="K35" s="3"/>
      <c r="L35" s="3"/>
    </row>
    <row r="36" ht="15.75" customHeight="1">
      <c r="H36" s="6"/>
      <c r="K36" s="3"/>
      <c r="L36" s="3"/>
    </row>
    <row r="37" ht="15.75" customHeight="1">
      <c r="H37" s="6"/>
    </row>
    <row r="38" ht="15.75" customHeight="1">
      <c r="H38" s="6"/>
    </row>
    <row r="39" ht="15.75" customHeight="1">
      <c r="H39" s="6"/>
    </row>
    <row r="40" ht="15.75" customHeight="1">
      <c r="H40" s="6"/>
    </row>
    <row r="41" ht="15.75" customHeight="1">
      <c r="H41" s="6"/>
    </row>
    <row r="42" ht="15.75" customHeight="1">
      <c r="H42" s="6"/>
    </row>
    <row r="43" ht="15.75" customHeight="1">
      <c r="H43" s="6"/>
    </row>
    <row r="44" ht="15.75" customHeight="1">
      <c r="H44" s="6"/>
    </row>
    <row r="45" ht="15.75" customHeight="1">
      <c r="H45" s="6"/>
    </row>
    <row r="46" ht="15.75" customHeight="1">
      <c r="H46" s="6"/>
    </row>
    <row r="47" ht="15.75" customHeight="1">
      <c r="H47" s="6"/>
    </row>
    <row r="48" ht="15.75" customHeight="1">
      <c r="H48" s="6"/>
    </row>
    <row r="49" ht="15.75" customHeight="1">
      <c r="H49" s="6"/>
    </row>
    <row r="50" ht="15.75" customHeight="1">
      <c r="H50" s="6"/>
    </row>
    <row r="51" ht="15.75" customHeight="1">
      <c r="H51" s="6"/>
    </row>
    <row r="52" ht="15.75" customHeight="1">
      <c r="H52" s="6"/>
    </row>
    <row r="53" ht="15.75" customHeight="1">
      <c r="H53" s="6"/>
    </row>
    <row r="54" ht="15.75" customHeight="1">
      <c r="H54" s="6"/>
    </row>
    <row r="55" ht="15.75" customHeight="1">
      <c r="H55" s="6"/>
    </row>
    <row r="56" ht="15.75" customHeight="1">
      <c r="H56" s="6"/>
    </row>
    <row r="57" ht="15.75" customHeight="1">
      <c r="H57" s="6"/>
    </row>
    <row r="58" ht="15.75" customHeight="1">
      <c r="H58" s="6"/>
    </row>
    <row r="59" ht="15.75" customHeight="1">
      <c r="H59" s="6"/>
    </row>
    <row r="60" ht="15.75" customHeight="1">
      <c r="H60" s="6"/>
    </row>
    <row r="61" ht="15.75" customHeight="1">
      <c r="H61" s="6"/>
    </row>
    <row r="62" ht="15.75" customHeight="1">
      <c r="H62" s="6"/>
    </row>
    <row r="63" ht="15.75" customHeight="1">
      <c r="H63" s="6"/>
    </row>
    <row r="64" ht="15.75" customHeight="1">
      <c r="H64" s="6"/>
    </row>
    <row r="65" ht="15.75" customHeight="1">
      <c r="H65" s="6"/>
    </row>
    <row r="66" ht="15.75" customHeight="1">
      <c r="H66" s="6"/>
    </row>
    <row r="67" ht="15.75" customHeight="1">
      <c r="H67" s="6"/>
    </row>
    <row r="68" ht="15.75" customHeight="1">
      <c r="H68" s="6"/>
    </row>
    <row r="69" ht="15.75" customHeight="1">
      <c r="H69" s="6"/>
    </row>
    <row r="70" ht="15.75" customHeight="1">
      <c r="H70" s="6"/>
    </row>
    <row r="71" ht="15.75" customHeight="1">
      <c r="H71" s="6"/>
    </row>
    <row r="72" ht="15.75" customHeight="1">
      <c r="H72" s="6"/>
    </row>
    <row r="73" ht="15.75" customHeight="1">
      <c r="H73" s="6"/>
    </row>
    <row r="74" ht="15.75" customHeight="1">
      <c r="H74" s="6"/>
    </row>
    <row r="75" ht="15.75" customHeight="1">
      <c r="H75" s="6"/>
    </row>
    <row r="76" ht="15.75" customHeight="1">
      <c r="H76" s="6"/>
    </row>
    <row r="77" ht="15.75" customHeight="1">
      <c r="H77" s="6"/>
    </row>
    <row r="78" ht="15.75" customHeight="1">
      <c r="H78" s="6"/>
    </row>
    <row r="79" ht="15.75" customHeight="1">
      <c r="H79" s="6"/>
    </row>
    <row r="80" ht="15.75" customHeight="1">
      <c r="H80" s="6"/>
    </row>
    <row r="81" ht="15.75" customHeight="1">
      <c r="H81" s="6"/>
    </row>
    <row r="82" ht="15.75" customHeight="1">
      <c r="H82" s="6"/>
    </row>
    <row r="83" ht="15.75" customHeight="1">
      <c r="H83" s="6"/>
    </row>
    <row r="84" ht="15.75" customHeight="1">
      <c r="H84" s="6"/>
    </row>
    <row r="85" ht="15.75" customHeight="1">
      <c r="H85" s="6"/>
    </row>
    <row r="86" ht="15.75" customHeight="1">
      <c r="H86" s="6"/>
    </row>
    <row r="87" ht="15.75" customHeight="1">
      <c r="H87" s="6"/>
    </row>
    <row r="88" ht="15.75" customHeight="1">
      <c r="H88" s="6"/>
    </row>
    <row r="89" ht="15.75" customHeight="1">
      <c r="H89" s="6"/>
    </row>
    <row r="90" ht="15.75" customHeight="1">
      <c r="H90" s="6"/>
    </row>
    <row r="91" ht="15.75" customHeight="1">
      <c r="H91" s="6"/>
    </row>
    <row r="92" ht="15.75" customHeight="1">
      <c r="H92" s="6"/>
    </row>
    <row r="93" ht="15.75" customHeight="1">
      <c r="H93" s="6"/>
    </row>
    <row r="94" ht="15.75" customHeight="1">
      <c r="H94" s="6"/>
    </row>
    <row r="95" ht="15.75" customHeight="1">
      <c r="H95" s="6"/>
    </row>
    <row r="96" ht="15.75" customHeight="1">
      <c r="H96" s="6"/>
    </row>
    <row r="97" ht="15.75" customHeight="1">
      <c r="H97" s="6"/>
    </row>
    <row r="98" ht="15.75" customHeight="1">
      <c r="H98" s="6"/>
    </row>
    <row r="99" ht="15.75" customHeight="1">
      <c r="H99" s="6"/>
    </row>
    <row r="100" ht="15.75" customHeight="1">
      <c r="H100" s="6"/>
    </row>
    <row r="101" ht="15.75" customHeight="1">
      <c r="H101" s="6"/>
    </row>
    <row r="102" ht="15.75" customHeight="1">
      <c r="H102" s="6"/>
    </row>
    <row r="103" ht="15.75" customHeight="1">
      <c r="H103" s="6"/>
    </row>
    <row r="104" ht="15.75" customHeight="1">
      <c r="H104" s="6"/>
    </row>
    <row r="105" ht="15.75" customHeight="1">
      <c r="H105" s="6"/>
    </row>
    <row r="106" ht="15.75" customHeight="1">
      <c r="H106" s="6"/>
    </row>
    <row r="107" ht="15.75" customHeight="1">
      <c r="H107" s="6"/>
    </row>
    <row r="108" ht="15.75" customHeight="1">
      <c r="H108" s="6"/>
    </row>
    <row r="109" ht="15.75" customHeight="1">
      <c r="H109" s="6"/>
    </row>
    <row r="110" ht="15.75" customHeight="1">
      <c r="H110" s="6"/>
    </row>
    <row r="111" ht="15.75" customHeight="1">
      <c r="H111" s="6"/>
    </row>
    <row r="112" ht="15.75" customHeight="1">
      <c r="H112" s="6"/>
    </row>
    <row r="113" ht="15.75" customHeight="1">
      <c r="H113" s="6"/>
    </row>
    <row r="114" ht="15.75" customHeight="1">
      <c r="H114" s="6"/>
    </row>
    <row r="115" ht="15.75" customHeight="1">
      <c r="H115" s="6"/>
    </row>
    <row r="116" ht="15.75" customHeight="1">
      <c r="H116" s="6"/>
    </row>
    <row r="117" ht="15.75" customHeight="1">
      <c r="H117" s="6"/>
    </row>
    <row r="118" ht="15.75" customHeight="1">
      <c r="H118" s="6"/>
    </row>
    <row r="119" ht="15.75" customHeight="1">
      <c r="H119" s="6"/>
    </row>
    <row r="120" ht="15.75" customHeight="1">
      <c r="H120" s="6"/>
    </row>
    <row r="121" ht="15.75" customHeight="1">
      <c r="H121" s="6"/>
    </row>
    <row r="122" ht="15.75" customHeight="1">
      <c r="H122" s="6"/>
    </row>
    <row r="123" ht="15.75" customHeight="1">
      <c r="H123" s="6"/>
    </row>
    <row r="124" ht="15.75" customHeight="1">
      <c r="H124" s="6"/>
    </row>
    <row r="125" ht="15.75" customHeight="1">
      <c r="H125" s="6"/>
    </row>
    <row r="126" ht="15.75" customHeight="1">
      <c r="H126" s="6"/>
    </row>
    <row r="127" ht="15.75" customHeight="1">
      <c r="H127" s="6"/>
    </row>
    <row r="128" ht="15.75" customHeight="1">
      <c r="H128" s="6"/>
    </row>
    <row r="129" ht="15.75" customHeight="1">
      <c r="H129" s="6"/>
    </row>
    <row r="130" ht="15.75" customHeight="1">
      <c r="H130" s="6"/>
    </row>
    <row r="131" ht="15.75" customHeight="1">
      <c r="H131" s="6"/>
    </row>
    <row r="132" ht="15.75" customHeight="1">
      <c r="H132" s="6"/>
    </row>
    <row r="133" ht="15.75" customHeight="1">
      <c r="H133" s="6"/>
    </row>
    <row r="134" ht="15.75" customHeight="1">
      <c r="H134" s="6"/>
    </row>
    <row r="135" ht="15.75" customHeight="1">
      <c r="H135" s="6"/>
    </row>
    <row r="136" ht="15.75" customHeight="1">
      <c r="H136" s="6"/>
    </row>
    <row r="137" ht="15.75" customHeight="1">
      <c r="H137" s="6"/>
    </row>
    <row r="138" ht="15.75" customHeight="1">
      <c r="H138" s="6"/>
    </row>
    <row r="139" ht="15.75" customHeight="1">
      <c r="H139" s="6"/>
    </row>
    <row r="140" ht="15.75" customHeight="1">
      <c r="H140" s="6"/>
    </row>
    <row r="141" ht="15.75" customHeight="1">
      <c r="H141" s="6"/>
    </row>
    <row r="142" ht="15.75" customHeight="1">
      <c r="H142" s="6"/>
    </row>
    <row r="143" ht="15.75" customHeight="1">
      <c r="H143" s="6"/>
    </row>
    <row r="144" ht="15.75" customHeight="1">
      <c r="H144" s="6"/>
    </row>
    <row r="145" ht="15.75" customHeight="1">
      <c r="H145" s="6"/>
    </row>
    <row r="146" ht="15.75" customHeight="1">
      <c r="H146" s="6"/>
    </row>
    <row r="147" ht="15.75" customHeight="1">
      <c r="H147" s="6"/>
    </row>
    <row r="148" ht="15.75" customHeight="1">
      <c r="H148" s="6"/>
    </row>
    <row r="149" ht="15.75" customHeight="1">
      <c r="H149" s="6"/>
    </row>
    <row r="150" ht="15.75" customHeight="1">
      <c r="H150" s="6"/>
    </row>
    <row r="151" ht="15.75" customHeight="1">
      <c r="H151" s="6"/>
    </row>
    <row r="152" ht="15.75" customHeight="1">
      <c r="H152" s="6"/>
    </row>
    <row r="153" ht="15.75" customHeight="1">
      <c r="H153" s="6"/>
    </row>
    <row r="154" ht="15.75" customHeight="1">
      <c r="H154" s="6"/>
    </row>
    <row r="155" ht="15.75" customHeight="1">
      <c r="H155" s="6"/>
    </row>
    <row r="156" ht="15.75" customHeight="1">
      <c r="H156" s="6"/>
    </row>
    <row r="157" ht="15.75" customHeight="1">
      <c r="H157" s="6"/>
    </row>
    <row r="158" ht="15.75" customHeight="1">
      <c r="H158" s="6"/>
    </row>
    <row r="159" ht="15.75" customHeight="1">
      <c r="H159" s="6"/>
    </row>
    <row r="160" ht="15.75" customHeight="1">
      <c r="H160" s="6"/>
    </row>
    <row r="161" ht="15.75" customHeight="1">
      <c r="H161" s="6"/>
    </row>
    <row r="162" ht="15.75" customHeight="1">
      <c r="H162" s="6"/>
    </row>
    <row r="163" ht="15.75" customHeight="1">
      <c r="H163" s="6"/>
    </row>
    <row r="164" ht="15.75" customHeight="1">
      <c r="H164" s="6"/>
    </row>
    <row r="165" ht="15.75" customHeight="1">
      <c r="H165" s="6"/>
    </row>
    <row r="166" ht="15.75" customHeight="1">
      <c r="H166" s="6"/>
    </row>
    <row r="167" ht="15.75" customHeight="1">
      <c r="H167" s="6"/>
    </row>
    <row r="168" ht="15.75" customHeight="1">
      <c r="H168" s="6"/>
    </row>
    <row r="169" ht="15.75" customHeight="1">
      <c r="H169" s="6"/>
    </row>
    <row r="170" ht="15.75" customHeight="1">
      <c r="H170" s="6"/>
    </row>
    <row r="171" ht="15.75" customHeight="1">
      <c r="H171" s="6"/>
    </row>
    <row r="172" ht="15.75" customHeight="1">
      <c r="H172" s="6"/>
    </row>
    <row r="173" ht="15.75" customHeight="1">
      <c r="H173" s="6"/>
    </row>
    <row r="174" ht="15.75" customHeight="1">
      <c r="H174" s="6"/>
    </row>
    <row r="175" ht="15.75" customHeight="1">
      <c r="H175" s="6"/>
    </row>
    <row r="176" ht="15.75" customHeight="1">
      <c r="H176" s="6"/>
    </row>
    <row r="177" ht="15.75" customHeight="1">
      <c r="H177" s="6"/>
    </row>
    <row r="178" ht="15.75" customHeight="1">
      <c r="H178" s="6"/>
    </row>
    <row r="179" ht="15.75" customHeight="1">
      <c r="H179" s="6"/>
    </row>
    <row r="180" ht="15.75" customHeight="1">
      <c r="H180" s="6"/>
    </row>
    <row r="181" ht="15.75" customHeight="1">
      <c r="H181" s="6"/>
    </row>
    <row r="182" ht="15.75" customHeight="1">
      <c r="H182" s="6"/>
    </row>
    <row r="183" ht="15.75" customHeight="1">
      <c r="H183" s="6"/>
    </row>
    <row r="184" ht="15.75" customHeight="1">
      <c r="H184" s="6"/>
    </row>
    <row r="185" ht="15.75" customHeight="1">
      <c r="H185" s="6"/>
    </row>
    <row r="186" ht="15.75" customHeight="1">
      <c r="H186" s="6"/>
    </row>
    <row r="187" ht="15.75" customHeight="1">
      <c r="H187" s="6"/>
    </row>
    <row r="188" ht="15.75" customHeight="1">
      <c r="H188" s="6"/>
    </row>
    <row r="189" ht="15.75" customHeight="1">
      <c r="H189" s="6"/>
    </row>
    <row r="190" ht="15.75" customHeight="1">
      <c r="H190" s="6"/>
    </row>
    <row r="191" ht="15.75" customHeight="1">
      <c r="H191" s="6"/>
    </row>
    <row r="192" ht="15.75" customHeight="1">
      <c r="H192" s="6"/>
    </row>
    <row r="193" ht="15.75" customHeight="1">
      <c r="H193" s="6"/>
    </row>
    <row r="194" ht="15.75" customHeight="1">
      <c r="H194" s="6"/>
    </row>
    <row r="195" ht="15.75" customHeight="1">
      <c r="H195" s="6"/>
    </row>
    <row r="196" ht="15.75" customHeight="1">
      <c r="H196" s="6"/>
    </row>
    <row r="197" ht="15.75" customHeight="1">
      <c r="H197" s="6"/>
    </row>
    <row r="198" ht="15.75" customHeight="1">
      <c r="H198" s="6"/>
    </row>
    <row r="199" ht="15.75" customHeight="1">
      <c r="H199" s="6"/>
    </row>
    <row r="200" ht="15.75" customHeight="1">
      <c r="H200" s="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28.0"/>
    <col customWidth="1" min="4" max="4" width="18.0"/>
    <col customWidth="1" min="5" max="5" width="34.0"/>
    <col customWidth="1" min="6" max="6" width="18.0"/>
    <col customWidth="1" min="7" max="7" width="42.0"/>
    <col customWidth="1" min="8" max="8" width="12.0"/>
    <col customWidth="1" min="9" max="26" width="8.63"/>
  </cols>
  <sheetData>
    <row r="1">
      <c r="A1" s="1" t="s">
        <v>112</v>
      </c>
      <c r="B1" s="1" t="s">
        <v>1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9</v>
      </c>
      <c r="H1" s="1" t="s">
        <v>117</v>
      </c>
    </row>
    <row r="2">
      <c r="A2" s="4" t="s">
        <v>118</v>
      </c>
      <c r="B2" s="4" t="s">
        <v>11</v>
      </c>
      <c r="C2" s="4" t="s">
        <v>119</v>
      </c>
      <c r="D2" s="4" t="s">
        <v>120</v>
      </c>
      <c r="E2" s="4" t="s">
        <v>121</v>
      </c>
      <c r="F2" s="4"/>
      <c r="G2" s="4"/>
      <c r="H2" s="4" t="s">
        <v>122</v>
      </c>
    </row>
    <row r="3">
      <c r="A3" s="4" t="s">
        <v>123</v>
      </c>
      <c r="B3" s="4" t="s">
        <v>11</v>
      </c>
      <c r="C3" s="4" t="s">
        <v>119</v>
      </c>
      <c r="D3" s="4" t="s">
        <v>120</v>
      </c>
      <c r="E3" s="4" t="s">
        <v>124</v>
      </c>
      <c r="F3" s="4"/>
      <c r="G3" s="4"/>
      <c r="H3" s="4" t="s">
        <v>122</v>
      </c>
    </row>
    <row r="4">
      <c r="A4" s="4" t="s">
        <v>125</v>
      </c>
      <c r="B4" s="4" t="s">
        <v>11</v>
      </c>
      <c r="C4" s="4" t="s">
        <v>119</v>
      </c>
      <c r="D4" s="4" t="s">
        <v>120</v>
      </c>
      <c r="E4" s="4" t="s">
        <v>126</v>
      </c>
      <c r="F4" s="4"/>
      <c r="G4" s="4"/>
      <c r="H4" s="4" t="s">
        <v>122</v>
      </c>
    </row>
    <row r="5">
      <c r="A5" s="4" t="s">
        <v>127</v>
      </c>
      <c r="B5" s="4" t="s">
        <v>11</v>
      </c>
      <c r="C5" s="4" t="s">
        <v>119</v>
      </c>
      <c r="D5" s="4" t="s">
        <v>120</v>
      </c>
      <c r="E5" s="4" t="s">
        <v>128</v>
      </c>
      <c r="F5" s="4"/>
      <c r="G5" s="4"/>
      <c r="H5" s="4" t="s">
        <v>122</v>
      </c>
    </row>
    <row r="6">
      <c r="A6" s="4" t="s">
        <v>129</v>
      </c>
      <c r="B6" s="4" t="s">
        <v>11</v>
      </c>
      <c r="C6" s="4" t="s">
        <v>119</v>
      </c>
      <c r="D6" s="4" t="s">
        <v>120</v>
      </c>
      <c r="E6" s="4" t="s">
        <v>130</v>
      </c>
      <c r="F6" s="4"/>
      <c r="G6" s="4"/>
      <c r="H6" s="4" t="s">
        <v>122</v>
      </c>
    </row>
    <row r="7">
      <c r="A7" s="4" t="s">
        <v>131</v>
      </c>
      <c r="B7" s="4" t="s">
        <v>11</v>
      </c>
      <c r="C7" s="4" t="s">
        <v>119</v>
      </c>
      <c r="D7" s="4" t="s">
        <v>132</v>
      </c>
      <c r="E7" s="4" t="s">
        <v>133</v>
      </c>
      <c r="F7" s="4"/>
      <c r="G7" s="4"/>
      <c r="H7" s="4" t="s">
        <v>122</v>
      </c>
    </row>
    <row r="8">
      <c r="A8" s="4" t="s">
        <v>134</v>
      </c>
      <c r="B8" s="4" t="s">
        <v>11</v>
      </c>
      <c r="C8" s="4" t="s">
        <v>119</v>
      </c>
      <c r="D8" s="4" t="s">
        <v>132</v>
      </c>
      <c r="E8" s="4" t="s">
        <v>135</v>
      </c>
      <c r="F8" s="4"/>
      <c r="G8" s="4"/>
      <c r="H8" s="4" t="s">
        <v>122</v>
      </c>
    </row>
    <row r="9">
      <c r="A9" s="4" t="s">
        <v>136</v>
      </c>
      <c r="B9" s="4" t="s">
        <v>11</v>
      </c>
      <c r="C9" s="4" t="s">
        <v>119</v>
      </c>
      <c r="D9" s="4" t="s">
        <v>132</v>
      </c>
      <c r="E9" s="4" t="s">
        <v>137</v>
      </c>
      <c r="F9" s="4"/>
      <c r="G9" s="4"/>
      <c r="H9" s="4" t="s">
        <v>122</v>
      </c>
    </row>
    <row r="10">
      <c r="A10" s="4" t="s">
        <v>138</v>
      </c>
      <c r="B10" s="4" t="s">
        <v>11</v>
      </c>
      <c r="C10" s="4" t="s">
        <v>139</v>
      </c>
      <c r="D10" s="4" t="s">
        <v>120</v>
      </c>
      <c r="E10" s="4" t="s">
        <v>124</v>
      </c>
      <c r="F10" s="4"/>
      <c r="G10" s="4"/>
      <c r="H10" s="4" t="s">
        <v>122</v>
      </c>
    </row>
    <row r="11">
      <c r="A11" s="4" t="s">
        <v>140</v>
      </c>
      <c r="B11" s="4" t="s">
        <v>11</v>
      </c>
      <c r="C11" s="4" t="s">
        <v>139</v>
      </c>
      <c r="D11" s="4" t="s">
        <v>120</v>
      </c>
      <c r="E11" s="4" t="s">
        <v>135</v>
      </c>
      <c r="F11" s="4"/>
      <c r="G11" s="4"/>
      <c r="H11" s="4" t="s">
        <v>122</v>
      </c>
    </row>
    <row r="12">
      <c r="A12" s="4" t="s">
        <v>141</v>
      </c>
      <c r="B12" s="4" t="s">
        <v>11</v>
      </c>
      <c r="C12" s="4" t="s">
        <v>139</v>
      </c>
      <c r="D12" s="4" t="s">
        <v>120</v>
      </c>
      <c r="E12" s="4" t="s">
        <v>142</v>
      </c>
      <c r="F12" s="4"/>
      <c r="G12" s="4"/>
      <c r="H12" s="4" t="s">
        <v>122</v>
      </c>
    </row>
    <row r="13">
      <c r="A13" s="4" t="s">
        <v>143</v>
      </c>
      <c r="B13" s="4" t="s">
        <v>11</v>
      </c>
      <c r="C13" s="4" t="s">
        <v>139</v>
      </c>
      <c r="D13" s="4" t="s">
        <v>120</v>
      </c>
      <c r="E13" s="4" t="s">
        <v>144</v>
      </c>
      <c r="F13" s="4"/>
      <c r="G13" s="4"/>
      <c r="H13" s="4" t="s">
        <v>122</v>
      </c>
    </row>
    <row r="14">
      <c r="A14" s="4" t="s">
        <v>145</v>
      </c>
      <c r="B14" s="4" t="s">
        <v>11</v>
      </c>
      <c r="C14" s="4" t="s">
        <v>139</v>
      </c>
      <c r="D14" s="4" t="s">
        <v>120</v>
      </c>
      <c r="E14" s="4" t="s">
        <v>128</v>
      </c>
      <c r="F14" s="4"/>
      <c r="G14" s="4"/>
      <c r="H14" s="4" t="s">
        <v>122</v>
      </c>
    </row>
    <row r="15">
      <c r="A15" s="4" t="s">
        <v>146</v>
      </c>
      <c r="B15" s="4" t="s">
        <v>11</v>
      </c>
      <c r="C15" s="4" t="s">
        <v>139</v>
      </c>
      <c r="D15" s="4" t="s">
        <v>132</v>
      </c>
      <c r="E15" s="4" t="s">
        <v>133</v>
      </c>
      <c r="F15" s="4"/>
      <c r="G15" s="4"/>
      <c r="H15" s="4" t="s">
        <v>122</v>
      </c>
    </row>
    <row r="16">
      <c r="A16" s="4" t="s">
        <v>147</v>
      </c>
      <c r="B16" s="4" t="s">
        <v>11</v>
      </c>
      <c r="C16" s="4" t="s">
        <v>139</v>
      </c>
      <c r="D16" s="4" t="s">
        <v>132</v>
      </c>
      <c r="E16" s="4" t="s">
        <v>148</v>
      </c>
      <c r="F16" s="4"/>
      <c r="G16" s="4"/>
      <c r="H16" s="4" t="s">
        <v>122</v>
      </c>
    </row>
    <row r="17">
      <c r="A17" s="4" t="s">
        <v>149</v>
      </c>
      <c r="B17" s="4" t="s">
        <v>11</v>
      </c>
      <c r="C17" s="4" t="s">
        <v>139</v>
      </c>
      <c r="D17" s="4" t="s">
        <v>132</v>
      </c>
      <c r="E17" s="4" t="s">
        <v>137</v>
      </c>
      <c r="F17" s="4"/>
      <c r="G17" s="4"/>
      <c r="H17" s="4" t="s">
        <v>122</v>
      </c>
    </row>
    <row r="18">
      <c r="A18" s="4" t="s">
        <v>150</v>
      </c>
      <c r="B18" s="4" t="s">
        <v>22</v>
      </c>
      <c r="C18" s="4" t="s">
        <v>151</v>
      </c>
      <c r="D18" s="4" t="s">
        <v>120</v>
      </c>
      <c r="E18" s="4" t="s">
        <v>121</v>
      </c>
      <c r="F18" s="4"/>
      <c r="G18" s="4"/>
      <c r="H18" s="4" t="s">
        <v>152</v>
      </c>
    </row>
    <row r="19">
      <c r="A19" s="4" t="s">
        <v>153</v>
      </c>
      <c r="B19" s="4" t="s">
        <v>22</v>
      </c>
      <c r="C19" s="4" t="s">
        <v>151</v>
      </c>
      <c r="D19" s="4" t="s">
        <v>120</v>
      </c>
      <c r="E19" s="4" t="s">
        <v>154</v>
      </c>
      <c r="F19" s="4"/>
      <c r="G19" s="4"/>
      <c r="H19" s="4" t="s">
        <v>152</v>
      </c>
    </row>
    <row r="20">
      <c r="A20" s="4" t="s">
        <v>155</v>
      </c>
      <c r="B20" s="4" t="s">
        <v>22</v>
      </c>
      <c r="C20" s="4" t="s">
        <v>151</v>
      </c>
      <c r="D20" s="4" t="s">
        <v>120</v>
      </c>
      <c r="E20" s="4" t="s">
        <v>126</v>
      </c>
      <c r="F20" s="4"/>
      <c r="G20" s="4"/>
      <c r="H20" s="4" t="s">
        <v>152</v>
      </c>
    </row>
    <row r="21" ht="15.75" customHeight="1">
      <c r="A21" s="4" t="s">
        <v>156</v>
      </c>
      <c r="B21" s="4" t="s">
        <v>22</v>
      </c>
      <c r="C21" s="4" t="s">
        <v>151</v>
      </c>
      <c r="D21" s="4" t="s">
        <v>120</v>
      </c>
      <c r="E21" s="4" t="s">
        <v>133</v>
      </c>
      <c r="F21" s="4"/>
      <c r="G21" s="4"/>
      <c r="H21" s="4" t="s">
        <v>152</v>
      </c>
    </row>
    <row r="22" ht="15.75" customHeight="1">
      <c r="A22" s="4" t="s">
        <v>157</v>
      </c>
      <c r="B22" s="4" t="s">
        <v>22</v>
      </c>
      <c r="C22" s="4" t="s">
        <v>151</v>
      </c>
      <c r="D22" s="4" t="s">
        <v>120</v>
      </c>
      <c r="E22" s="4" t="s">
        <v>128</v>
      </c>
      <c r="F22" s="4"/>
      <c r="G22" s="4"/>
      <c r="H22" s="4" t="s">
        <v>152</v>
      </c>
    </row>
    <row r="23" ht="15.75" customHeight="1">
      <c r="A23" s="4" t="s">
        <v>158</v>
      </c>
      <c r="B23" s="4" t="s">
        <v>22</v>
      </c>
      <c r="C23" s="4" t="s">
        <v>151</v>
      </c>
      <c r="D23" s="4" t="s">
        <v>120</v>
      </c>
      <c r="E23" s="4" t="s">
        <v>159</v>
      </c>
      <c r="F23" s="4"/>
      <c r="G23" s="4"/>
      <c r="H23" s="4" t="s">
        <v>152</v>
      </c>
    </row>
    <row r="24" ht="15.75" customHeight="1">
      <c r="A24" s="4" t="s">
        <v>160</v>
      </c>
      <c r="B24" s="4" t="s">
        <v>22</v>
      </c>
      <c r="C24" s="4" t="s">
        <v>151</v>
      </c>
      <c r="D24" s="4" t="s">
        <v>120</v>
      </c>
      <c r="E24" s="4" t="s">
        <v>161</v>
      </c>
      <c r="F24" s="4"/>
      <c r="G24" s="4"/>
      <c r="H24" s="4" t="s">
        <v>152</v>
      </c>
    </row>
    <row r="25" ht="15.75" customHeight="1">
      <c r="A25" s="4" t="s">
        <v>162</v>
      </c>
      <c r="B25" s="4" t="s">
        <v>22</v>
      </c>
      <c r="C25" s="4" t="s">
        <v>151</v>
      </c>
      <c r="D25" s="4" t="s">
        <v>120</v>
      </c>
      <c r="E25" s="4" t="s">
        <v>163</v>
      </c>
      <c r="F25" s="4"/>
      <c r="G25" s="4"/>
      <c r="H25" s="4" t="s">
        <v>152</v>
      </c>
    </row>
    <row r="26" ht="15.75" customHeight="1">
      <c r="A26" s="4" t="s">
        <v>164</v>
      </c>
      <c r="B26" s="4" t="s">
        <v>22</v>
      </c>
      <c r="C26" s="4" t="s">
        <v>151</v>
      </c>
      <c r="D26" s="4" t="s">
        <v>132</v>
      </c>
      <c r="E26" s="4" t="s">
        <v>133</v>
      </c>
      <c r="F26" s="4"/>
      <c r="G26" s="4"/>
      <c r="H26" s="4" t="s">
        <v>152</v>
      </c>
    </row>
    <row r="27" ht="15.75" customHeight="1">
      <c r="A27" s="4" t="s">
        <v>165</v>
      </c>
      <c r="B27" s="4" t="s">
        <v>22</v>
      </c>
      <c r="C27" s="4" t="s">
        <v>151</v>
      </c>
      <c r="D27" s="4" t="s">
        <v>132</v>
      </c>
      <c r="E27" s="4" t="s">
        <v>135</v>
      </c>
      <c r="F27" s="4"/>
      <c r="G27" s="4"/>
      <c r="H27" s="4" t="s">
        <v>152</v>
      </c>
    </row>
    <row r="28" ht="15.75" customHeight="1">
      <c r="A28" s="4" t="s">
        <v>166</v>
      </c>
      <c r="B28" s="4" t="s">
        <v>22</v>
      </c>
      <c r="C28" s="4" t="s">
        <v>151</v>
      </c>
      <c r="D28" s="4" t="s">
        <v>132</v>
      </c>
      <c r="E28" s="4" t="s">
        <v>137</v>
      </c>
      <c r="F28" s="4"/>
      <c r="G28" s="4"/>
      <c r="H28" s="4" t="s">
        <v>152</v>
      </c>
    </row>
    <row r="29" ht="15.75" customHeight="1">
      <c r="A29" s="4" t="s">
        <v>167</v>
      </c>
      <c r="B29" s="4" t="s">
        <v>22</v>
      </c>
      <c r="C29" s="4" t="s">
        <v>168</v>
      </c>
      <c r="D29" s="4" t="s">
        <v>120</v>
      </c>
      <c r="E29" s="4" t="s">
        <v>169</v>
      </c>
      <c r="F29" s="4"/>
      <c r="G29" s="4"/>
      <c r="H29" s="4" t="s">
        <v>152</v>
      </c>
    </row>
    <row r="30" ht="15.75" customHeight="1">
      <c r="A30" s="4" t="s">
        <v>170</v>
      </c>
      <c r="B30" s="4" t="s">
        <v>22</v>
      </c>
      <c r="C30" s="4" t="s">
        <v>168</v>
      </c>
      <c r="D30" s="4" t="s">
        <v>120</v>
      </c>
      <c r="E30" s="4" t="s">
        <v>148</v>
      </c>
      <c r="F30" s="4"/>
      <c r="G30" s="4"/>
      <c r="H30" s="4" t="s">
        <v>152</v>
      </c>
    </row>
    <row r="31" ht="15.75" customHeight="1">
      <c r="A31" s="4" t="s">
        <v>171</v>
      </c>
      <c r="B31" s="4" t="s">
        <v>22</v>
      </c>
      <c r="C31" s="4" t="s">
        <v>168</v>
      </c>
      <c r="D31" s="4" t="s">
        <v>120</v>
      </c>
      <c r="E31" s="4" t="s">
        <v>172</v>
      </c>
      <c r="F31" s="4"/>
      <c r="G31" s="4"/>
      <c r="H31" s="4" t="s">
        <v>152</v>
      </c>
    </row>
    <row r="32" ht="15.75" customHeight="1">
      <c r="A32" s="4" t="s">
        <v>173</v>
      </c>
      <c r="B32" s="4" t="s">
        <v>22</v>
      </c>
      <c r="C32" s="4" t="s">
        <v>168</v>
      </c>
      <c r="D32" s="4" t="s">
        <v>120</v>
      </c>
      <c r="E32" s="4" t="s">
        <v>174</v>
      </c>
      <c r="F32" s="4"/>
      <c r="G32" s="4"/>
      <c r="H32" s="4" t="s">
        <v>152</v>
      </c>
    </row>
    <row r="33" ht="15.75" customHeight="1">
      <c r="A33" s="4" t="s">
        <v>175</v>
      </c>
      <c r="B33" s="4" t="s">
        <v>22</v>
      </c>
      <c r="C33" s="4" t="s">
        <v>168</v>
      </c>
      <c r="D33" s="4" t="s">
        <v>120</v>
      </c>
      <c r="E33" s="4" t="s">
        <v>176</v>
      </c>
      <c r="F33" s="4"/>
      <c r="G33" s="4"/>
      <c r="H33" s="4" t="s">
        <v>152</v>
      </c>
    </row>
    <row r="34" ht="15.75" customHeight="1">
      <c r="A34" s="4" t="s">
        <v>177</v>
      </c>
      <c r="B34" s="4" t="s">
        <v>22</v>
      </c>
      <c r="C34" s="4" t="s">
        <v>168</v>
      </c>
      <c r="D34" s="4" t="s">
        <v>120</v>
      </c>
      <c r="E34" s="4" t="s">
        <v>178</v>
      </c>
      <c r="F34" s="4"/>
      <c r="G34" s="4"/>
      <c r="H34" s="4" t="s">
        <v>152</v>
      </c>
    </row>
    <row r="35" ht="15.75" customHeight="1">
      <c r="A35" s="4" t="s">
        <v>179</v>
      </c>
      <c r="B35" s="4" t="s">
        <v>22</v>
      </c>
      <c r="C35" s="4" t="s">
        <v>168</v>
      </c>
      <c r="D35" s="4" t="s">
        <v>120</v>
      </c>
      <c r="E35" s="4" t="s">
        <v>180</v>
      </c>
      <c r="F35" s="4"/>
      <c r="G35" s="4"/>
      <c r="H35" s="4" t="s">
        <v>152</v>
      </c>
    </row>
    <row r="36" ht="15.75" customHeight="1">
      <c r="A36" s="4" t="s">
        <v>181</v>
      </c>
      <c r="B36" s="4" t="s">
        <v>22</v>
      </c>
      <c r="C36" s="4" t="s">
        <v>168</v>
      </c>
      <c r="D36" s="4" t="s">
        <v>120</v>
      </c>
      <c r="E36" s="4" t="s">
        <v>144</v>
      </c>
      <c r="F36" s="4"/>
      <c r="G36" s="4"/>
      <c r="H36" s="4" t="s">
        <v>152</v>
      </c>
    </row>
    <row r="37" ht="15.75" customHeight="1">
      <c r="A37" s="4" t="s">
        <v>182</v>
      </c>
      <c r="B37" s="4" t="s">
        <v>22</v>
      </c>
      <c r="C37" s="4" t="s">
        <v>168</v>
      </c>
      <c r="D37" s="4" t="s">
        <v>132</v>
      </c>
      <c r="E37" s="4" t="s">
        <v>133</v>
      </c>
      <c r="F37" s="4"/>
      <c r="G37" s="4"/>
      <c r="H37" s="4" t="s">
        <v>152</v>
      </c>
    </row>
    <row r="38" ht="15.75" customHeight="1">
      <c r="A38" s="4" t="s">
        <v>183</v>
      </c>
      <c r="B38" s="4" t="s">
        <v>22</v>
      </c>
      <c r="C38" s="4" t="s">
        <v>168</v>
      </c>
      <c r="D38" s="4" t="s">
        <v>132</v>
      </c>
      <c r="E38" s="4" t="s">
        <v>135</v>
      </c>
      <c r="F38" s="4"/>
      <c r="G38" s="4"/>
      <c r="H38" s="4" t="s">
        <v>152</v>
      </c>
    </row>
    <row r="39" ht="15.75" customHeight="1">
      <c r="A39" s="4" t="s">
        <v>184</v>
      </c>
      <c r="B39" s="4" t="s">
        <v>22</v>
      </c>
      <c r="C39" s="4" t="s">
        <v>168</v>
      </c>
      <c r="D39" s="4" t="s">
        <v>132</v>
      </c>
      <c r="E39" s="4" t="s">
        <v>137</v>
      </c>
      <c r="F39" s="4"/>
      <c r="G39" s="4"/>
      <c r="H39" s="4" t="s">
        <v>152</v>
      </c>
    </row>
    <row r="40" ht="15.75" customHeight="1">
      <c r="A40" s="4" t="s">
        <v>185</v>
      </c>
      <c r="B40" s="4" t="s">
        <v>28</v>
      </c>
      <c r="C40" s="4" t="s">
        <v>29</v>
      </c>
      <c r="D40" s="4" t="s">
        <v>186</v>
      </c>
      <c r="E40" s="4" t="s">
        <v>187</v>
      </c>
      <c r="F40" s="4" t="s">
        <v>13</v>
      </c>
      <c r="G40" s="4"/>
      <c r="H40" s="4" t="s">
        <v>188</v>
      </c>
    </row>
    <row r="41" ht="15.75" customHeight="1">
      <c r="A41" s="4" t="s">
        <v>189</v>
      </c>
      <c r="B41" s="4" t="s">
        <v>28</v>
      </c>
      <c r="C41" s="4" t="s">
        <v>29</v>
      </c>
      <c r="D41" s="4" t="s">
        <v>186</v>
      </c>
      <c r="E41" s="4" t="s">
        <v>190</v>
      </c>
      <c r="F41" s="4" t="s">
        <v>13</v>
      </c>
      <c r="G41" s="4"/>
      <c r="H41" s="4" t="s">
        <v>188</v>
      </c>
    </row>
    <row r="42" ht="15.75" customHeight="1">
      <c r="A42" s="4" t="s">
        <v>191</v>
      </c>
      <c r="B42" s="4" t="s">
        <v>28</v>
      </c>
      <c r="C42" s="4" t="s">
        <v>29</v>
      </c>
      <c r="D42" s="4" t="s">
        <v>186</v>
      </c>
      <c r="E42" s="4" t="s">
        <v>121</v>
      </c>
      <c r="F42" s="4" t="s">
        <v>13</v>
      </c>
      <c r="G42" s="4"/>
      <c r="H42" s="4" t="s">
        <v>188</v>
      </c>
    </row>
    <row r="43" ht="15.75" customHeight="1">
      <c r="A43" s="4" t="s">
        <v>192</v>
      </c>
      <c r="B43" s="4" t="s">
        <v>28</v>
      </c>
      <c r="C43" s="4" t="s">
        <v>29</v>
      </c>
      <c r="D43" s="4" t="s">
        <v>186</v>
      </c>
      <c r="E43" s="4" t="s">
        <v>126</v>
      </c>
      <c r="F43" s="4" t="s">
        <v>13</v>
      </c>
      <c r="G43" s="4"/>
      <c r="H43" s="4" t="s">
        <v>188</v>
      </c>
    </row>
    <row r="44" ht="15.75" customHeight="1">
      <c r="A44" s="4" t="s">
        <v>193</v>
      </c>
      <c r="B44" s="4" t="s">
        <v>28</v>
      </c>
      <c r="C44" s="4" t="s">
        <v>37</v>
      </c>
      <c r="D44" s="4" t="s">
        <v>186</v>
      </c>
      <c r="E44" s="4" t="s">
        <v>126</v>
      </c>
      <c r="F44" s="4" t="s">
        <v>194</v>
      </c>
      <c r="G44" s="4"/>
      <c r="H44" s="4" t="s">
        <v>188</v>
      </c>
    </row>
    <row r="45" ht="15.75" customHeight="1">
      <c r="A45" s="4" t="s">
        <v>195</v>
      </c>
      <c r="B45" s="4" t="s">
        <v>28</v>
      </c>
      <c r="C45" s="4" t="s">
        <v>37</v>
      </c>
      <c r="D45" s="4" t="s">
        <v>186</v>
      </c>
      <c r="E45" s="4" t="s">
        <v>196</v>
      </c>
      <c r="F45" s="4" t="s">
        <v>194</v>
      </c>
      <c r="G45" s="4"/>
      <c r="H45" s="4" t="s">
        <v>188</v>
      </c>
    </row>
    <row r="46" ht="15.75" customHeight="1">
      <c r="A46" s="4" t="s">
        <v>197</v>
      </c>
      <c r="B46" s="4" t="s">
        <v>28</v>
      </c>
      <c r="C46" s="4" t="s">
        <v>37</v>
      </c>
      <c r="D46" s="4" t="s">
        <v>186</v>
      </c>
      <c r="E46" s="4" t="s">
        <v>198</v>
      </c>
      <c r="F46" s="4" t="s">
        <v>194</v>
      </c>
      <c r="G46" s="4"/>
      <c r="H46" s="4" t="s">
        <v>188</v>
      </c>
    </row>
    <row r="47" ht="15.75" customHeight="1">
      <c r="A47" s="4" t="s">
        <v>199</v>
      </c>
      <c r="B47" s="4" t="s">
        <v>28</v>
      </c>
      <c r="C47" s="4" t="s">
        <v>41</v>
      </c>
      <c r="D47" s="4" t="s">
        <v>186</v>
      </c>
      <c r="E47" s="4" t="s">
        <v>200</v>
      </c>
      <c r="F47" s="4" t="s">
        <v>19</v>
      </c>
      <c r="G47" s="4"/>
      <c r="H47" s="4" t="s">
        <v>188</v>
      </c>
    </row>
    <row r="48" ht="15.75" customHeight="1">
      <c r="A48" s="4" t="s">
        <v>201</v>
      </c>
      <c r="B48" s="4" t="s">
        <v>28</v>
      </c>
      <c r="C48" s="4" t="s">
        <v>41</v>
      </c>
      <c r="D48" s="4" t="s">
        <v>186</v>
      </c>
      <c r="E48" s="4" t="s">
        <v>202</v>
      </c>
      <c r="F48" s="4" t="s">
        <v>19</v>
      </c>
      <c r="G48" s="4"/>
      <c r="H48" s="4" t="s">
        <v>188</v>
      </c>
    </row>
    <row r="49" ht="15.75" customHeight="1">
      <c r="A49" s="4" t="s">
        <v>203</v>
      </c>
      <c r="B49" s="4" t="s">
        <v>28</v>
      </c>
      <c r="C49" s="4" t="s">
        <v>41</v>
      </c>
      <c r="D49" s="4" t="s">
        <v>186</v>
      </c>
      <c r="E49" s="4" t="s">
        <v>204</v>
      </c>
      <c r="F49" s="4" t="s">
        <v>19</v>
      </c>
      <c r="G49" s="4"/>
      <c r="H49" s="4" t="s">
        <v>188</v>
      </c>
    </row>
    <row r="50" ht="15.75" customHeight="1">
      <c r="A50" s="4" t="s">
        <v>205</v>
      </c>
      <c r="B50" s="4" t="s">
        <v>45</v>
      </c>
      <c r="C50" s="4" t="s">
        <v>46</v>
      </c>
      <c r="D50" s="4" t="s">
        <v>120</v>
      </c>
      <c r="E50" s="4" t="s">
        <v>206</v>
      </c>
      <c r="F50" s="4" t="s">
        <v>207</v>
      </c>
      <c r="G50" s="4"/>
      <c r="H50" s="4" t="s">
        <v>208</v>
      </c>
    </row>
    <row r="51" ht="15.75" customHeight="1">
      <c r="A51" s="4" t="s">
        <v>209</v>
      </c>
      <c r="B51" s="4" t="s">
        <v>45</v>
      </c>
      <c r="C51" s="4" t="s">
        <v>46</v>
      </c>
      <c r="D51" s="4" t="s">
        <v>120</v>
      </c>
      <c r="E51" s="4" t="s">
        <v>210</v>
      </c>
      <c r="F51" s="4" t="s">
        <v>207</v>
      </c>
      <c r="G51" s="4"/>
      <c r="H51" s="4" t="s">
        <v>208</v>
      </c>
    </row>
    <row r="52" ht="15.75" customHeight="1">
      <c r="A52" s="4" t="s">
        <v>211</v>
      </c>
      <c r="B52" s="4" t="s">
        <v>45</v>
      </c>
      <c r="C52" s="4" t="s">
        <v>46</v>
      </c>
      <c r="D52" s="4" t="s">
        <v>120</v>
      </c>
      <c r="E52" s="4" t="s">
        <v>190</v>
      </c>
      <c r="F52" s="4" t="s">
        <v>207</v>
      </c>
      <c r="G52" s="4"/>
      <c r="H52" s="4" t="s">
        <v>208</v>
      </c>
    </row>
    <row r="53" ht="15.75" customHeight="1">
      <c r="A53" s="4" t="s">
        <v>212</v>
      </c>
      <c r="B53" s="4" t="s">
        <v>45</v>
      </c>
      <c r="C53" s="4" t="s">
        <v>46</v>
      </c>
      <c r="D53" s="4" t="s">
        <v>120</v>
      </c>
      <c r="E53" s="4" t="s">
        <v>213</v>
      </c>
      <c r="F53" s="4" t="s">
        <v>207</v>
      </c>
      <c r="G53" s="4"/>
      <c r="H53" s="4" t="s">
        <v>208</v>
      </c>
    </row>
    <row r="54" ht="15.75" customHeight="1">
      <c r="A54" s="4" t="s">
        <v>214</v>
      </c>
      <c r="B54" s="4" t="s">
        <v>45</v>
      </c>
      <c r="C54" s="4" t="s">
        <v>46</v>
      </c>
      <c r="D54" s="4" t="s">
        <v>120</v>
      </c>
      <c r="E54" s="4" t="s">
        <v>121</v>
      </c>
      <c r="F54" s="4" t="s">
        <v>207</v>
      </c>
      <c r="G54" s="4"/>
      <c r="H54" s="4" t="s">
        <v>208</v>
      </c>
    </row>
    <row r="55" ht="15.75" customHeight="1">
      <c r="A55" s="4" t="s">
        <v>215</v>
      </c>
      <c r="B55" s="4" t="s">
        <v>45</v>
      </c>
      <c r="C55" s="4" t="s">
        <v>46</v>
      </c>
      <c r="D55" s="4" t="s">
        <v>120</v>
      </c>
      <c r="E55" s="4" t="s">
        <v>154</v>
      </c>
      <c r="F55" s="4" t="s">
        <v>207</v>
      </c>
      <c r="G55" s="4"/>
      <c r="H55" s="4" t="s">
        <v>208</v>
      </c>
    </row>
    <row r="56" ht="15.75" customHeight="1">
      <c r="A56" s="4" t="s">
        <v>216</v>
      </c>
      <c r="B56" s="4" t="s">
        <v>45</v>
      </c>
      <c r="C56" s="4" t="s">
        <v>46</v>
      </c>
      <c r="D56" s="4" t="s">
        <v>120</v>
      </c>
      <c r="E56" s="4" t="s">
        <v>126</v>
      </c>
      <c r="F56" s="4" t="s">
        <v>207</v>
      </c>
      <c r="G56" s="4"/>
      <c r="H56" s="4" t="s">
        <v>208</v>
      </c>
    </row>
    <row r="57" ht="15.75" customHeight="1">
      <c r="A57" s="4" t="s">
        <v>217</v>
      </c>
      <c r="B57" s="4" t="s">
        <v>45</v>
      </c>
      <c r="C57" s="4" t="s">
        <v>46</v>
      </c>
      <c r="D57" s="4" t="s">
        <v>120</v>
      </c>
      <c r="E57" s="4" t="s">
        <v>218</v>
      </c>
      <c r="F57" s="4" t="s">
        <v>207</v>
      </c>
      <c r="G57" s="4"/>
      <c r="H57" s="4" t="s">
        <v>208</v>
      </c>
    </row>
    <row r="58" ht="15.75" customHeight="1">
      <c r="A58" s="4" t="s">
        <v>219</v>
      </c>
      <c r="B58" s="4" t="s">
        <v>45</v>
      </c>
      <c r="C58" s="4" t="s">
        <v>46</v>
      </c>
      <c r="D58" s="4" t="s">
        <v>120</v>
      </c>
      <c r="E58" s="4" t="s">
        <v>220</v>
      </c>
      <c r="F58" s="4" t="s">
        <v>207</v>
      </c>
      <c r="G58" s="4"/>
      <c r="H58" s="4" t="s">
        <v>208</v>
      </c>
    </row>
    <row r="59" ht="15.75" customHeight="1">
      <c r="A59" s="4" t="s">
        <v>221</v>
      </c>
      <c r="B59" s="4" t="s">
        <v>45</v>
      </c>
      <c r="C59" s="4" t="s">
        <v>46</v>
      </c>
      <c r="D59" s="4" t="s">
        <v>120</v>
      </c>
      <c r="E59" s="4" t="s">
        <v>222</v>
      </c>
      <c r="F59" s="4" t="s">
        <v>207</v>
      </c>
      <c r="G59" s="4"/>
      <c r="H59" s="4" t="s">
        <v>208</v>
      </c>
    </row>
    <row r="60" ht="15.75" customHeight="1">
      <c r="A60" s="4" t="s">
        <v>223</v>
      </c>
      <c r="B60" s="4" t="s">
        <v>45</v>
      </c>
      <c r="C60" s="4" t="s">
        <v>46</v>
      </c>
      <c r="D60" s="4" t="s">
        <v>120</v>
      </c>
      <c r="E60" s="4" t="s">
        <v>224</v>
      </c>
      <c r="F60" s="4" t="s">
        <v>207</v>
      </c>
      <c r="G60" s="4"/>
      <c r="H60" s="4" t="s">
        <v>208</v>
      </c>
    </row>
    <row r="61" ht="15.75" customHeight="1">
      <c r="A61" s="4" t="s">
        <v>225</v>
      </c>
      <c r="B61" s="4" t="s">
        <v>45</v>
      </c>
      <c r="C61" s="4" t="s">
        <v>46</v>
      </c>
      <c r="D61" s="4" t="s">
        <v>120</v>
      </c>
      <c r="E61" s="4" t="s">
        <v>226</v>
      </c>
      <c r="F61" s="4" t="s">
        <v>207</v>
      </c>
      <c r="G61" s="4"/>
      <c r="H61" s="4" t="s">
        <v>208</v>
      </c>
    </row>
    <row r="62" ht="15.75" customHeight="1">
      <c r="A62" s="4" t="s">
        <v>227</v>
      </c>
      <c r="B62" s="4" t="s">
        <v>45</v>
      </c>
      <c r="C62" s="4" t="s">
        <v>46</v>
      </c>
      <c r="D62" s="4" t="s">
        <v>120</v>
      </c>
      <c r="E62" s="4" t="s">
        <v>228</v>
      </c>
      <c r="F62" s="4" t="s">
        <v>207</v>
      </c>
      <c r="G62" s="4"/>
      <c r="H62" s="4" t="s">
        <v>208</v>
      </c>
    </row>
    <row r="63" ht="15.75" customHeight="1">
      <c r="A63" s="4" t="s">
        <v>229</v>
      </c>
      <c r="B63" s="4" t="s">
        <v>45</v>
      </c>
      <c r="C63" s="4" t="s">
        <v>46</v>
      </c>
      <c r="D63" s="4" t="s">
        <v>120</v>
      </c>
      <c r="E63" s="4" t="s">
        <v>230</v>
      </c>
      <c r="F63" s="4" t="s">
        <v>207</v>
      </c>
      <c r="G63" s="4"/>
      <c r="H63" s="4" t="s">
        <v>208</v>
      </c>
    </row>
    <row r="64" ht="15.75" customHeight="1">
      <c r="A64" s="4" t="s">
        <v>231</v>
      </c>
      <c r="B64" s="4" t="s">
        <v>45</v>
      </c>
      <c r="C64" s="4" t="s">
        <v>46</v>
      </c>
      <c r="D64" s="4" t="s">
        <v>120</v>
      </c>
      <c r="E64" s="4" t="s">
        <v>232</v>
      </c>
      <c r="F64" s="4" t="s">
        <v>207</v>
      </c>
      <c r="G64" s="4"/>
      <c r="H64" s="4" t="s">
        <v>208</v>
      </c>
    </row>
    <row r="65" ht="15.75" customHeight="1">
      <c r="A65" s="4" t="s">
        <v>233</v>
      </c>
      <c r="B65" s="4" t="s">
        <v>60</v>
      </c>
      <c r="C65" s="4" t="s">
        <v>61</v>
      </c>
      <c r="D65" s="4" t="s">
        <v>120</v>
      </c>
      <c r="E65" s="4" t="s">
        <v>135</v>
      </c>
      <c r="F65" s="4" t="s">
        <v>234</v>
      </c>
      <c r="G65" s="4"/>
      <c r="H65" s="4" t="s">
        <v>235</v>
      </c>
    </row>
    <row r="66" ht="15.75" customHeight="1">
      <c r="A66" s="4" t="s">
        <v>236</v>
      </c>
      <c r="B66" s="4" t="s">
        <v>60</v>
      </c>
      <c r="C66" s="4" t="s">
        <v>61</v>
      </c>
      <c r="D66" s="4" t="s">
        <v>120</v>
      </c>
      <c r="E66" s="4" t="s">
        <v>237</v>
      </c>
      <c r="F66" s="4" t="s">
        <v>234</v>
      </c>
      <c r="G66" s="4"/>
      <c r="H66" s="4" t="s">
        <v>235</v>
      </c>
    </row>
    <row r="67" ht="15.75" customHeight="1">
      <c r="A67" s="4" t="s">
        <v>238</v>
      </c>
      <c r="B67" s="4" t="s">
        <v>60</v>
      </c>
      <c r="C67" s="4" t="s">
        <v>61</v>
      </c>
      <c r="D67" s="4" t="s">
        <v>120</v>
      </c>
      <c r="E67" s="4" t="s">
        <v>124</v>
      </c>
      <c r="F67" s="4" t="s">
        <v>234</v>
      </c>
      <c r="G67" s="4"/>
      <c r="H67" s="4" t="s">
        <v>235</v>
      </c>
    </row>
    <row r="68" ht="15.75" customHeight="1">
      <c r="A68" s="4" t="s">
        <v>239</v>
      </c>
      <c r="B68" s="4" t="s">
        <v>60</v>
      </c>
      <c r="C68" s="4" t="s">
        <v>61</v>
      </c>
      <c r="D68" s="4" t="s">
        <v>120</v>
      </c>
      <c r="E68" s="4" t="s">
        <v>128</v>
      </c>
      <c r="F68" s="4" t="s">
        <v>234</v>
      </c>
      <c r="G68" s="4"/>
      <c r="H68" s="4" t="s">
        <v>235</v>
      </c>
    </row>
    <row r="69" ht="15.75" customHeight="1">
      <c r="A69" s="4" t="s">
        <v>240</v>
      </c>
      <c r="B69" s="4" t="s">
        <v>60</v>
      </c>
      <c r="C69" s="4" t="s">
        <v>61</v>
      </c>
      <c r="D69" s="4" t="s">
        <v>120</v>
      </c>
      <c r="E69" s="4" t="s">
        <v>190</v>
      </c>
      <c r="F69" s="4" t="s">
        <v>234</v>
      </c>
      <c r="G69" s="4"/>
      <c r="H69" s="4" t="s">
        <v>235</v>
      </c>
    </row>
    <row r="70" ht="15.75" customHeight="1">
      <c r="A70" s="4" t="s">
        <v>241</v>
      </c>
      <c r="B70" s="4" t="s">
        <v>60</v>
      </c>
      <c r="C70" s="4" t="s">
        <v>61</v>
      </c>
      <c r="D70" s="4" t="s">
        <v>120</v>
      </c>
      <c r="E70" s="4" t="s">
        <v>206</v>
      </c>
      <c r="F70" s="4" t="s">
        <v>234</v>
      </c>
      <c r="G70" s="4"/>
      <c r="H70" s="4" t="s">
        <v>235</v>
      </c>
    </row>
    <row r="71" ht="15.75" customHeight="1">
      <c r="A71" s="4" t="s">
        <v>242</v>
      </c>
      <c r="B71" s="4" t="s">
        <v>60</v>
      </c>
      <c r="C71" s="4" t="s">
        <v>61</v>
      </c>
      <c r="D71" s="4" t="s">
        <v>120</v>
      </c>
      <c r="E71" s="4" t="s">
        <v>210</v>
      </c>
      <c r="F71" s="4" t="s">
        <v>234</v>
      </c>
      <c r="G71" s="4"/>
      <c r="H71" s="4" t="s">
        <v>235</v>
      </c>
    </row>
    <row r="72" ht="15.75" customHeight="1">
      <c r="A72" s="4" t="s">
        <v>243</v>
      </c>
      <c r="B72" s="4" t="s">
        <v>60</v>
      </c>
      <c r="C72" s="4" t="s">
        <v>61</v>
      </c>
      <c r="D72" s="4" t="s">
        <v>120</v>
      </c>
      <c r="E72" s="4" t="s">
        <v>213</v>
      </c>
      <c r="F72" s="4" t="s">
        <v>234</v>
      </c>
      <c r="G72" s="4"/>
      <c r="H72" s="4" t="s">
        <v>235</v>
      </c>
    </row>
    <row r="73" ht="15.75" customHeight="1">
      <c r="A73" s="4" t="s">
        <v>244</v>
      </c>
      <c r="B73" s="4" t="s">
        <v>60</v>
      </c>
      <c r="C73" s="4" t="s">
        <v>61</v>
      </c>
      <c r="D73" s="4" t="s">
        <v>120</v>
      </c>
      <c r="E73" s="4" t="s">
        <v>220</v>
      </c>
      <c r="F73" s="4" t="s">
        <v>234</v>
      </c>
      <c r="G73" s="4"/>
      <c r="H73" s="4" t="s">
        <v>235</v>
      </c>
    </row>
    <row r="74" ht="15.75" customHeight="1">
      <c r="A74" s="4" t="s">
        <v>245</v>
      </c>
      <c r="B74" s="4" t="s">
        <v>60</v>
      </c>
      <c r="C74" s="4" t="s">
        <v>61</v>
      </c>
      <c r="D74" s="4" t="s">
        <v>120</v>
      </c>
      <c r="E74" s="4" t="s">
        <v>246</v>
      </c>
      <c r="F74" s="4" t="s">
        <v>234</v>
      </c>
      <c r="G74" s="4"/>
      <c r="H74" s="4" t="s">
        <v>235</v>
      </c>
    </row>
    <row r="75" ht="15.75" customHeight="1">
      <c r="A75" s="4" t="s">
        <v>247</v>
      </c>
      <c r="B75" s="4" t="s">
        <v>60</v>
      </c>
      <c r="C75" s="4" t="s">
        <v>61</v>
      </c>
      <c r="D75" s="4" t="s">
        <v>120</v>
      </c>
      <c r="E75" s="4" t="s">
        <v>224</v>
      </c>
      <c r="F75" s="4" t="s">
        <v>234</v>
      </c>
      <c r="G75" s="4"/>
      <c r="H75" s="4" t="s">
        <v>235</v>
      </c>
    </row>
    <row r="76" ht="15.75" customHeight="1">
      <c r="A76" s="4" t="s">
        <v>248</v>
      </c>
      <c r="B76" s="4" t="s">
        <v>60</v>
      </c>
      <c r="C76" s="4" t="s">
        <v>61</v>
      </c>
      <c r="D76" s="4" t="s">
        <v>120</v>
      </c>
      <c r="E76" s="4" t="s">
        <v>230</v>
      </c>
      <c r="F76" s="4" t="s">
        <v>234</v>
      </c>
      <c r="G76" s="4"/>
      <c r="H76" s="4" t="s">
        <v>235</v>
      </c>
    </row>
    <row r="77" ht="15.75" customHeight="1">
      <c r="A77" s="4" t="s">
        <v>249</v>
      </c>
      <c r="B77" s="4" t="s">
        <v>60</v>
      </c>
      <c r="C77" s="4" t="s">
        <v>61</v>
      </c>
      <c r="D77" s="4" t="s">
        <v>120</v>
      </c>
      <c r="E77" s="4" t="s">
        <v>232</v>
      </c>
      <c r="F77" s="4" t="s">
        <v>234</v>
      </c>
      <c r="G77" s="4"/>
      <c r="H77" s="4" t="s">
        <v>235</v>
      </c>
    </row>
    <row r="78" ht="15.75" customHeight="1">
      <c r="A78" s="4" t="s">
        <v>250</v>
      </c>
      <c r="B78" s="4" t="s">
        <v>60</v>
      </c>
      <c r="C78" s="4" t="s">
        <v>61</v>
      </c>
      <c r="D78" s="4" t="s">
        <v>120</v>
      </c>
      <c r="E78" s="4" t="s">
        <v>228</v>
      </c>
      <c r="F78" s="4" t="s">
        <v>234</v>
      </c>
      <c r="G78" s="4"/>
      <c r="H78" s="4" t="s">
        <v>235</v>
      </c>
    </row>
    <row r="79" ht="15.75" customHeight="1">
      <c r="A79" s="4" t="s">
        <v>251</v>
      </c>
      <c r="B79" s="4" t="s">
        <v>68</v>
      </c>
      <c r="C79" s="4" t="s">
        <v>69</v>
      </c>
      <c r="D79" s="4" t="s">
        <v>252</v>
      </c>
      <c r="E79" s="4" t="s">
        <v>253</v>
      </c>
      <c r="F79" s="4"/>
      <c r="G79" s="4"/>
      <c r="H79" s="4" t="s">
        <v>254</v>
      </c>
    </row>
    <row r="80" ht="15.75" customHeight="1">
      <c r="A80" s="4" t="s">
        <v>255</v>
      </c>
      <c r="B80" s="4" t="s">
        <v>68</v>
      </c>
      <c r="C80" s="4" t="s">
        <v>69</v>
      </c>
      <c r="D80" s="4" t="s">
        <v>252</v>
      </c>
      <c r="E80" s="4" t="s">
        <v>256</v>
      </c>
      <c r="F80" s="4"/>
      <c r="G80" s="4"/>
      <c r="H80" s="4" t="s">
        <v>254</v>
      </c>
    </row>
    <row r="81" ht="15.75" customHeight="1">
      <c r="A81" s="4" t="s">
        <v>257</v>
      </c>
      <c r="B81" s="4" t="s">
        <v>68</v>
      </c>
      <c r="C81" s="4" t="s">
        <v>69</v>
      </c>
      <c r="D81" s="4" t="s">
        <v>252</v>
      </c>
      <c r="E81" s="4" t="s">
        <v>258</v>
      </c>
      <c r="F81" s="4"/>
      <c r="G81" s="4"/>
      <c r="H81" s="4" t="s">
        <v>254</v>
      </c>
    </row>
    <row r="82" ht="15.75" customHeight="1">
      <c r="A82" s="4" t="s">
        <v>259</v>
      </c>
      <c r="B82" s="4" t="s">
        <v>68</v>
      </c>
      <c r="C82" s="4" t="s">
        <v>260</v>
      </c>
      <c r="D82" s="4" t="s">
        <v>120</v>
      </c>
      <c r="E82" s="4" t="s">
        <v>126</v>
      </c>
      <c r="F82" s="4" t="s">
        <v>13</v>
      </c>
      <c r="G82" s="4"/>
      <c r="H82" s="4" t="s">
        <v>261</v>
      </c>
    </row>
    <row r="83" ht="15.75" customHeight="1">
      <c r="A83" s="4" t="s">
        <v>262</v>
      </c>
      <c r="B83" s="4" t="s">
        <v>68</v>
      </c>
      <c r="C83" s="4" t="s">
        <v>260</v>
      </c>
      <c r="D83" s="4" t="s">
        <v>120</v>
      </c>
      <c r="E83" s="4" t="s">
        <v>133</v>
      </c>
      <c r="F83" s="4" t="s">
        <v>13</v>
      </c>
      <c r="G83" s="4"/>
      <c r="H83" s="4" t="s">
        <v>261</v>
      </c>
    </row>
    <row r="84" ht="15.75" customHeight="1">
      <c r="A84" s="4" t="s">
        <v>263</v>
      </c>
      <c r="B84" s="4" t="s">
        <v>68</v>
      </c>
      <c r="C84" s="4" t="s">
        <v>260</v>
      </c>
      <c r="D84" s="4" t="s">
        <v>120</v>
      </c>
      <c r="E84" s="4" t="s">
        <v>128</v>
      </c>
      <c r="F84" s="4" t="s">
        <v>13</v>
      </c>
      <c r="G84" s="4"/>
      <c r="H84" s="4" t="s">
        <v>261</v>
      </c>
    </row>
    <row r="85" ht="15.75" customHeight="1">
      <c r="A85" s="4" t="s">
        <v>264</v>
      </c>
      <c r="B85" s="4" t="s">
        <v>68</v>
      </c>
      <c r="C85" s="4" t="s">
        <v>260</v>
      </c>
      <c r="D85" s="4" t="s">
        <v>120</v>
      </c>
      <c r="E85" s="4" t="s">
        <v>265</v>
      </c>
      <c r="F85" s="4" t="s">
        <v>13</v>
      </c>
      <c r="G85" s="4"/>
      <c r="H85" s="4" t="s">
        <v>261</v>
      </c>
    </row>
    <row r="86" ht="15.75" customHeight="1">
      <c r="A86" s="4" t="s">
        <v>266</v>
      </c>
      <c r="B86" s="4" t="s">
        <v>68</v>
      </c>
      <c r="C86" s="4" t="s">
        <v>260</v>
      </c>
      <c r="D86" s="4" t="s">
        <v>120</v>
      </c>
      <c r="E86" s="4" t="s">
        <v>267</v>
      </c>
      <c r="F86" s="4" t="s">
        <v>13</v>
      </c>
      <c r="G86" s="4"/>
      <c r="H86" s="4" t="s">
        <v>261</v>
      </c>
    </row>
    <row r="87" ht="15.75" customHeight="1">
      <c r="A87" s="4" t="s">
        <v>268</v>
      </c>
      <c r="B87" s="4" t="s">
        <v>68</v>
      </c>
      <c r="C87" s="4" t="s">
        <v>260</v>
      </c>
      <c r="D87" s="4" t="s">
        <v>120</v>
      </c>
      <c r="E87" s="4" t="s">
        <v>142</v>
      </c>
      <c r="F87" s="4" t="s">
        <v>13</v>
      </c>
      <c r="G87" s="4"/>
      <c r="H87" s="4" t="s">
        <v>261</v>
      </c>
    </row>
    <row r="88" ht="15.75" customHeight="1">
      <c r="A88" s="4" t="s">
        <v>269</v>
      </c>
      <c r="B88" s="4" t="s">
        <v>68</v>
      </c>
      <c r="C88" s="4" t="s">
        <v>260</v>
      </c>
      <c r="D88" s="4" t="s">
        <v>120</v>
      </c>
      <c r="E88" s="4" t="s">
        <v>270</v>
      </c>
      <c r="F88" s="4" t="s">
        <v>13</v>
      </c>
      <c r="G88" s="4"/>
      <c r="H88" s="4" t="s">
        <v>261</v>
      </c>
    </row>
    <row r="89" ht="15.75" customHeight="1">
      <c r="A89" s="4" t="s">
        <v>271</v>
      </c>
      <c r="B89" s="4" t="s">
        <v>68</v>
      </c>
      <c r="C89" s="4" t="s">
        <v>260</v>
      </c>
      <c r="D89" s="4" t="s">
        <v>120</v>
      </c>
      <c r="E89" s="4" t="s">
        <v>130</v>
      </c>
      <c r="F89" s="4" t="s">
        <v>13</v>
      </c>
      <c r="G89" s="4"/>
      <c r="H89" s="4" t="s">
        <v>261</v>
      </c>
    </row>
    <row r="90" ht="15.75" customHeight="1">
      <c r="A90" s="4" t="s">
        <v>272</v>
      </c>
      <c r="B90" s="4" t="s">
        <v>68</v>
      </c>
      <c r="C90" s="4" t="s">
        <v>273</v>
      </c>
      <c r="D90" s="4" t="s">
        <v>120</v>
      </c>
      <c r="E90" s="4" t="s">
        <v>274</v>
      </c>
      <c r="F90" s="4" t="s">
        <v>19</v>
      </c>
      <c r="G90" s="4"/>
      <c r="H90" s="4" t="s">
        <v>261</v>
      </c>
    </row>
    <row r="91" ht="15.75" customHeight="1">
      <c r="A91" s="4" t="s">
        <v>275</v>
      </c>
      <c r="B91" s="4" t="s">
        <v>68</v>
      </c>
      <c r="C91" s="4" t="s">
        <v>273</v>
      </c>
      <c r="D91" s="4" t="s">
        <v>120</v>
      </c>
      <c r="E91" s="4" t="s">
        <v>276</v>
      </c>
      <c r="F91" s="4" t="s">
        <v>19</v>
      </c>
      <c r="G91" s="4"/>
      <c r="H91" s="4" t="s">
        <v>261</v>
      </c>
    </row>
    <row r="92" ht="15.75" customHeight="1">
      <c r="A92" s="4" t="s">
        <v>277</v>
      </c>
      <c r="B92" s="4" t="s">
        <v>68</v>
      </c>
      <c r="C92" s="4" t="s">
        <v>273</v>
      </c>
      <c r="D92" s="4" t="s">
        <v>120</v>
      </c>
      <c r="E92" s="4" t="s">
        <v>278</v>
      </c>
      <c r="F92" s="4" t="s">
        <v>19</v>
      </c>
      <c r="G92" s="4"/>
      <c r="H92" s="4" t="s">
        <v>261</v>
      </c>
    </row>
    <row r="93" ht="15.75" customHeight="1">
      <c r="A93" s="4" t="s">
        <v>279</v>
      </c>
      <c r="B93" s="4" t="s">
        <v>68</v>
      </c>
      <c r="C93" s="4" t="s">
        <v>273</v>
      </c>
      <c r="D93" s="4" t="s">
        <v>120</v>
      </c>
      <c r="E93" s="4" t="s">
        <v>280</v>
      </c>
      <c r="F93" s="4" t="s">
        <v>19</v>
      </c>
      <c r="G93" s="4"/>
      <c r="H93" s="4" t="s">
        <v>261</v>
      </c>
    </row>
    <row r="94" ht="15.75" customHeight="1">
      <c r="A94" s="4" t="s">
        <v>281</v>
      </c>
      <c r="B94" s="4" t="s">
        <v>68</v>
      </c>
      <c r="C94" s="4" t="s">
        <v>273</v>
      </c>
      <c r="D94" s="4" t="s">
        <v>120</v>
      </c>
      <c r="E94" s="4" t="s">
        <v>282</v>
      </c>
      <c r="F94" s="4" t="s">
        <v>19</v>
      </c>
      <c r="G94" s="4"/>
      <c r="H94" s="4" t="s">
        <v>261</v>
      </c>
    </row>
    <row r="95" ht="15.75" customHeight="1">
      <c r="A95" s="4" t="s">
        <v>283</v>
      </c>
      <c r="B95" s="4" t="s">
        <v>68</v>
      </c>
      <c r="C95" s="4" t="s">
        <v>273</v>
      </c>
      <c r="D95" s="4" t="s">
        <v>120</v>
      </c>
      <c r="E95" s="4" t="s">
        <v>284</v>
      </c>
      <c r="F95" s="4" t="s">
        <v>19</v>
      </c>
      <c r="G95" s="4"/>
      <c r="H95" s="4" t="s">
        <v>261</v>
      </c>
    </row>
    <row r="96" ht="15.75" customHeight="1">
      <c r="A96" s="4" t="s">
        <v>285</v>
      </c>
      <c r="B96" s="4" t="s">
        <v>68</v>
      </c>
      <c r="C96" s="4" t="s">
        <v>273</v>
      </c>
      <c r="D96" s="4" t="s">
        <v>120</v>
      </c>
      <c r="E96" s="4" t="s">
        <v>286</v>
      </c>
      <c r="F96" s="4" t="s">
        <v>19</v>
      </c>
      <c r="G96" s="4"/>
      <c r="H96" s="4" t="s">
        <v>261</v>
      </c>
    </row>
    <row r="97" ht="15.75" customHeight="1">
      <c r="A97" s="4" t="s">
        <v>287</v>
      </c>
      <c r="B97" s="4" t="s">
        <v>68</v>
      </c>
      <c r="C97" s="4" t="s">
        <v>273</v>
      </c>
      <c r="D97" s="4" t="s">
        <v>120</v>
      </c>
      <c r="E97" s="4" t="s">
        <v>288</v>
      </c>
      <c r="F97" s="4" t="s">
        <v>19</v>
      </c>
      <c r="G97" s="4"/>
      <c r="H97" s="4" t="s">
        <v>261</v>
      </c>
    </row>
    <row r="98" ht="15.75" customHeight="1">
      <c r="A98" s="4" t="s">
        <v>289</v>
      </c>
      <c r="B98" s="4" t="s">
        <v>68</v>
      </c>
      <c r="C98" s="4" t="s">
        <v>273</v>
      </c>
      <c r="D98" s="4" t="s">
        <v>120</v>
      </c>
      <c r="E98" s="4" t="s">
        <v>290</v>
      </c>
      <c r="F98" s="4" t="s">
        <v>19</v>
      </c>
      <c r="G98" s="4"/>
      <c r="H98" s="4" t="s">
        <v>261</v>
      </c>
    </row>
    <row r="99" ht="15.75" customHeight="1">
      <c r="A99" s="4" t="s">
        <v>291</v>
      </c>
      <c r="B99" s="4" t="s">
        <v>68</v>
      </c>
      <c r="C99" s="4" t="s">
        <v>273</v>
      </c>
      <c r="D99" s="4" t="s">
        <v>120</v>
      </c>
      <c r="E99" s="4" t="s">
        <v>292</v>
      </c>
      <c r="F99" s="4" t="s">
        <v>19</v>
      </c>
      <c r="G99" s="4"/>
      <c r="H99" s="4" t="s">
        <v>261</v>
      </c>
    </row>
    <row r="100" ht="15.75" customHeight="1">
      <c r="A100" s="4" t="s">
        <v>293</v>
      </c>
      <c r="B100" s="4" t="s">
        <v>68</v>
      </c>
      <c r="C100" s="4" t="s">
        <v>294</v>
      </c>
      <c r="D100" s="4" t="s">
        <v>120</v>
      </c>
      <c r="E100" s="4" t="s">
        <v>295</v>
      </c>
      <c r="F100" s="4" t="s">
        <v>194</v>
      </c>
      <c r="G100" s="4" t="s">
        <v>296</v>
      </c>
      <c r="H100" s="4" t="s">
        <v>261</v>
      </c>
    </row>
    <row r="101" ht="15.75" customHeight="1">
      <c r="A101" s="4" t="s">
        <v>297</v>
      </c>
      <c r="B101" s="4" t="s">
        <v>68</v>
      </c>
      <c r="C101" s="4" t="s">
        <v>294</v>
      </c>
      <c r="D101" s="4" t="s">
        <v>120</v>
      </c>
      <c r="E101" s="4" t="s">
        <v>298</v>
      </c>
      <c r="F101" s="4" t="s">
        <v>194</v>
      </c>
      <c r="G101" s="4" t="s">
        <v>296</v>
      </c>
      <c r="H101" s="4" t="s">
        <v>261</v>
      </c>
    </row>
    <row r="102" ht="15.75" customHeight="1">
      <c r="A102" s="4" t="s">
        <v>299</v>
      </c>
      <c r="B102" s="4" t="s">
        <v>68</v>
      </c>
      <c r="C102" s="4" t="s">
        <v>294</v>
      </c>
      <c r="D102" s="4" t="s">
        <v>120</v>
      </c>
      <c r="E102" s="4" t="s">
        <v>300</v>
      </c>
      <c r="F102" s="4" t="s">
        <v>194</v>
      </c>
      <c r="G102" s="4" t="s">
        <v>296</v>
      </c>
      <c r="H102" s="4" t="s">
        <v>261</v>
      </c>
    </row>
    <row r="103" ht="15.75" customHeight="1">
      <c r="A103" s="4" t="s">
        <v>301</v>
      </c>
      <c r="B103" s="4" t="s">
        <v>68</v>
      </c>
      <c r="C103" s="4" t="s">
        <v>294</v>
      </c>
      <c r="D103" s="4" t="s">
        <v>120</v>
      </c>
      <c r="E103" s="4" t="s">
        <v>124</v>
      </c>
      <c r="F103" s="4" t="s">
        <v>194</v>
      </c>
      <c r="G103" s="4" t="s">
        <v>296</v>
      </c>
      <c r="H103" s="4" t="s">
        <v>261</v>
      </c>
    </row>
    <row r="104" ht="15.75" customHeight="1">
      <c r="A104" s="4" t="s">
        <v>302</v>
      </c>
      <c r="B104" s="4" t="s">
        <v>68</v>
      </c>
      <c r="C104" s="4" t="s">
        <v>294</v>
      </c>
      <c r="D104" s="4" t="s">
        <v>120</v>
      </c>
      <c r="E104" s="4" t="s">
        <v>303</v>
      </c>
      <c r="F104" s="4" t="s">
        <v>194</v>
      </c>
      <c r="G104" s="4" t="s">
        <v>296</v>
      </c>
      <c r="H104" s="4" t="s">
        <v>261</v>
      </c>
    </row>
    <row r="105" ht="15.75" customHeight="1">
      <c r="A105" s="4" t="s">
        <v>304</v>
      </c>
      <c r="B105" s="4" t="s">
        <v>68</v>
      </c>
      <c r="C105" s="4" t="s">
        <v>294</v>
      </c>
      <c r="D105" s="4" t="s">
        <v>120</v>
      </c>
      <c r="E105" s="4" t="s">
        <v>305</v>
      </c>
      <c r="F105" s="4" t="s">
        <v>194</v>
      </c>
      <c r="G105" s="4" t="s">
        <v>296</v>
      </c>
      <c r="H105" s="4" t="s">
        <v>261</v>
      </c>
    </row>
    <row r="106" ht="15.75" customHeight="1">
      <c r="A106" s="4" t="s">
        <v>306</v>
      </c>
      <c r="B106" s="4" t="s">
        <v>68</v>
      </c>
      <c r="C106" s="4" t="s">
        <v>294</v>
      </c>
      <c r="D106" s="4" t="s">
        <v>120</v>
      </c>
      <c r="E106" s="4" t="s">
        <v>213</v>
      </c>
      <c r="F106" s="4" t="s">
        <v>194</v>
      </c>
      <c r="G106" s="4" t="s">
        <v>296</v>
      </c>
      <c r="H106" s="4" t="s">
        <v>261</v>
      </c>
    </row>
    <row r="107" ht="15.75" customHeight="1">
      <c r="A107" s="4" t="s">
        <v>307</v>
      </c>
      <c r="B107" s="4" t="s">
        <v>68</v>
      </c>
      <c r="C107" s="4" t="s">
        <v>294</v>
      </c>
      <c r="D107" s="4" t="s">
        <v>120</v>
      </c>
      <c r="E107" s="4" t="s">
        <v>308</v>
      </c>
      <c r="F107" s="4" t="s">
        <v>194</v>
      </c>
      <c r="G107" s="4" t="s">
        <v>296</v>
      </c>
      <c r="H107" s="4" t="s">
        <v>261</v>
      </c>
    </row>
    <row r="108" ht="15.75" customHeight="1">
      <c r="A108" s="4" t="s">
        <v>309</v>
      </c>
      <c r="B108" s="4" t="s">
        <v>68</v>
      </c>
      <c r="C108" s="4" t="s">
        <v>294</v>
      </c>
      <c r="D108" s="4" t="s">
        <v>120</v>
      </c>
      <c r="E108" s="4" t="s">
        <v>310</v>
      </c>
      <c r="F108" s="4" t="s">
        <v>194</v>
      </c>
      <c r="G108" s="4" t="s">
        <v>296</v>
      </c>
      <c r="H108" s="4" t="s">
        <v>261</v>
      </c>
    </row>
    <row r="109" ht="15.75" customHeight="1">
      <c r="A109" s="4" t="s">
        <v>311</v>
      </c>
      <c r="B109" s="4" t="s">
        <v>68</v>
      </c>
      <c r="C109" s="4" t="s">
        <v>294</v>
      </c>
      <c r="D109" s="4" t="s">
        <v>120</v>
      </c>
      <c r="E109" s="4" t="s">
        <v>230</v>
      </c>
      <c r="F109" s="4" t="s">
        <v>194</v>
      </c>
      <c r="G109" s="4" t="s">
        <v>296</v>
      </c>
      <c r="H109" s="4" t="s">
        <v>261</v>
      </c>
    </row>
    <row r="110" ht="15.75" customHeight="1">
      <c r="A110" s="4" t="s">
        <v>312</v>
      </c>
      <c r="B110" s="4" t="s">
        <v>68</v>
      </c>
      <c r="C110" s="4" t="s">
        <v>294</v>
      </c>
      <c r="D110" s="4" t="s">
        <v>120</v>
      </c>
      <c r="E110" s="4" t="s">
        <v>313</v>
      </c>
      <c r="F110" s="4" t="s">
        <v>194</v>
      </c>
      <c r="G110" s="4" t="s">
        <v>296</v>
      </c>
      <c r="H110" s="4" t="s">
        <v>261</v>
      </c>
    </row>
    <row r="111" ht="15.75" customHeight="1">
      <c r="A111" s="4" t="s">
        <v>314</v>
      </c>
      <c r="B111" s="4" t="s">
        <v>68</v>
      </c>
      <c r="C111" s="4" t="s">
        <v>294</v>
      </c>
      <c r="D111" s="4" t="s">
        <v>120</v>
      </c>
      <c r="E111" s="4" t="s">
        <v>232</v>
      </c>
      <c r="F111" s="4" t="s">
        <v>194</v>
      </c>
      <c r="G111" s="4" t="s">
        <v>296</v>
      </c>
      <c r="H111" s="4" t="s">
        <v>261</v>
      </c>
    </row>
    <row r="112" ht="15.75" customHeight="1">
      <c r="A112" s="4" t="s">
        <v>315</v>
      </c>
      <c r="B112" s="4" t="s">
        <v>68</v>
      </c>
      <c r="C112" s="4" t="s">
        <v>294</v>
      </c>
      <c r="D112" s="4" t="s">
        <v>120</v>
      </c>
      <c r="E112" s="4" t="s">
        <v>316</v>
      </c>
      <c r="F112" s="4" t="s">
        <v>194</v>
      </c>
      <c r="G112" s="4" t="s">
        <v>296</v>
      </c>
      <c r="H112" s="4" t="s">
        <v>261</v>
      </c>
    </row>
    <row r="113" ht="15.75" customHeight="1">
      <c r="A113" s="4" t="s">
        <v>317</v>
      </c>
      <c r="B113" s="4" t="s">
        <v>68</v>
      </c>
      <c r="C113" s="4" t="s">
        <v>294</v>
      </c>
      <c r="D113" s="4" t="s">
        <v>120</v>
      </c>
      <c r="E113" s="4" t="s">
        <v>318</v>
      </c>
      <c r="F113" s="4" t="s">
        <v>194</v>
      </c>
      <c r="G113" s="4" t="s">
        <v>296</v>
      </c>
      <c r="H113" s="4" t="s">
        <v>261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3" width="12.0"/>
    <col customWidth="1" min="4" max="4" width="18.0"/>
    <col customWidth="1" min="5" max="5" width="20.0"/>
    <col customWidth="1" min="6" max="6" width="44.0"/>
    <col customWidth="1" min="7" max="7" width="12.0"/>
    <col customWidth="1" min="8" max="26" width="8.63"/>
  </cols>
  <sheetData>
    <row r="1">
      <c r="A1" s="1" t="s">
        <v>319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9</v>
      </c>
      <c r="G1" s="1" t="s">
        <v>117</v>
      </c>
    </row>
    <row r="2">
      <c r="A2" s="4" t="s">
        <v>324</v>
      </c>
      <c r="B2" s="4">
        <v>1.0</v>
      </c>
      <c r="C2" s="4">
        <v>13.0</v>
      </c>
      <c r="D2" s="4" t="s">
        <v>325</v>
      </c>
      <c r="E2" s="4">
        <v>10.0</v>
      </c>
      <c r="F2" s="4" t="s">
        <v>326</v>
      </c>
      <c r="G2" s="4" t="s">
        <v>254</v>
      </c>
    </row>
    <row r="3">
      <c r="A3" s="4" t="s">
        <v>327</v>
      </c>
      <c r="B3" s="4">
        <v>1.5</v>
      </c>
      <c r="C3" s="4">
        <v>15.0</v>
      </c>
      <c r="D3" s="4" t="s">
        <v>328</v>
      </c>
      <c r="E3" s="4">
        <v>15.0</v>
      </c>
      <c r="F3" s="4" t="s">
        <v>326</v>
      </c>
      <c r="G3" s="4" t="s">
        <v>254</v>
      </c>
    </row>
    <row r="4">
      <c r="A4" s="4" t="s">
        <v>329</v>
      </c>
      <c r="B4" s="4">
        <v>2.0</v>
      </c>
      <c r="C4" s="4">
        <v>17.0</v>
      </c>
      <c r="D4" s="4" t="s">
        <v>330</v>
      </c>
      <c r="E4" s="4">
        <v>20.0</v>
      </c>
      <c r="F4" s="4" t="s">
        <v>326</v>
      </c>
      <c r="G4" s="4" t="s">
        <v>254</v>
      </c>
    </row>
    <row r="5">
      <c r="A5" s="4" t="s">
        <v>331</v>
      </c>
      <c r="B5" s="4">
        <v>2.5</v>
      </c>
      <c r="C5" s="4">
        <v>20.0</v>
      </c>
      <c r="D5" s="4" t="s">
        <v>332</v>
      </c>
      <c r="E5" s="4">
        <v>25.0</v>
      </c>
      <c r="F5" s="4" t="s">
        <v>326</v>
      </c>
      <c r="G5" s="4" t="s">
        <v>254</v>
      </c>
    </row>
    <row r="6">
      <c r="A6" s="4" t="s">
        <v>333</v>
      </c>
      <c r="B6" s="4">
        <v>3.0</v>
      </c>
      <c r="C6" s="4">
        <v>23.0</v>
      </c>
      <c r="D6" s="4" t="s">
        <v>334</v>
      </c>
      <c r="E6" s="4">
        <v>30.0</v>
      </c>
      <c r="F6" s="4" t="s">
        <v>326</v>
      </c>
      <c r="G6" s="4" t="s">
        <v>254</v>
      </c>
    </row>
    <row r="7">
      <c r="A7" s="4" t="s">
        <v>335</v>
      </c>
      <c r="B7" s="4">
        <v>4.0</v>
      </c>
      <c r="C7" s="4">
        <v>25.0</v>
      </c>
      <c r="D7" s="4" t="s">
        <v>336</v>
      </c>
      <c r="E7" s="4">
        <v>40.0</v>
      </c>
      <c r="F7" s="4" t="s">
        <v>337</v>
      </c>
      <c r="G7" s="4" t="s">
        <v>254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3" width="36.0"/>
    <col customWidth="1" min="4" max="4" width="12.0"/>
    <col customWidth="1" min="5" max="5" width="18.0"/>
    <col customWidth="1" min="6" max="6" width="44.0"/>
    <col customWidth="1" min="7" max="7" width="14.0"/>
    <col customWidth="1" min="8" max="26" width="8.63"/>
  </cols>
  <sheetData>
    <row r="1">
      <c r="A1" s="1" t="s">
        <v>338</v>
      </c>
      <c r="B1" s="1" t="s">
        <v>339</v>
      </c>
      <c r="C1" s="1" t="s">
        <v>340</v>
      </c>
      <c r="D1" s="1" t="s">
        <v>7</v>
      </c>
      <c r="E1" s="1" t="s">
        <v>8</v>
      </c>
      <c r="F1" s="1" t="s">
        <v>9</v>
      </c>
      <c r="G1" s="1" t="s">
        <v>117</v>
      </c>
    </row>
    <row r="2">
      <c r="A2" s="4" t="s">
        <v>341</v>
      </c>
      <c r="B2" s="4" t="s">
        <v>342</v>
      </c>
      <c r="C2" s="4" t="s">
        <v>343</v>
      </c>
      <c r="D2" s="5">
        <v>0.0</v>
      </c>
      <c r="E2" s="4" t="s">
        <v>344</v>
      </c>
      <c r="F2" s="4" t="s">
        <v>345</v>
      </c>
      <c r="G2" s="4" t="s">
        <v>346</v>
      </c>
    </row>
    <row r="3">
      <c r="A3" s="4" t="s">
        <v>347</v>
      </c>
      <c r="B3" s="4" t="s">
        <v>342</v>
      </c>
      <c r="C3" s="4" t="s">
        <v>348</v>
      </c>
      <c r="D3" s="5">
        <v>0.0</v>
      </c>
      <c r="E3" s="4" t="s">
        <v>344</v>
      </c>
      <c r="F3" s="4" t="s">
        <v>345</v>
      </c>
      <c r="G3" s="4" t="s">
        <v>346</v>
      </c>
    </row>
    <row r="4">
      <c r="A4" s="4" t="s">
        <v>349</v>
      </c>
      <c r="B4" s="4" t="s">
        <v>342</v>
      </c>
      <c r="C4" s="4" t="s">
        <v>350</v>
      </c>
      <c r="D4" s="5">
        <v>0.0</v>
      </c>
      <c r="E4" s="4" t="s">
        <v>344</v>
      </c>
      <c r="F4" s="4" t="s">
        <v>345</v>
      </c>
      <c r="G4" s="4" t="s">
        <v>346</v>
      </c>
    </row>
    <row r="5">
      <c r="A5" s="4" t="s">
        <v>351</v>
      </c>
      <c r="B5" s="4" t="s">
        <v>342</v>
      </c>
      <c r="C5" s="4" t="s">
        <v>352</v>
      </c>
      <c r="D5" s="5">
        <v>0.0</v>
      </c>
      <c r="E5" s="4" t="s">
        <v>344</v>
      </c>
      <c r="F5" s="4" t="s">
        <v>345</v>
      </c>
      <c r="G5" s="4" t="s">
        <v>346</v>
      </c>
    </row>
    <row r="6">
      <c r="A6" s="4" t="s">
        <v>353</v>
      </c>
      <c r="B6" s="4" t="s">
        <v>342</v>
      </c>
      <c r="C6" s="4" t="s">
        <v>354</v>
      </c>
      <c r="D6" s="5">
        <v>0.0</v>
      </c>
      <c r="E6" s="4" t="s">
        <v>344</v>
      </c>
      <c r="F6" s="4" t="s">
        <v>345</v>
      </c>
      <c r="G6" s="4" t="s">
        <v>346</v>
      </c>
    </row>
    <row r="7">
      <c r="A7" s="4" t="s">
        <v>355</v>
      </c>
      <c r="B7" s="4" t="s">
        <v>342</v>
      </c>
      <c r="C7" s="4" t="s">
        <v>356</v>
      </c>
      <c r="D7" s="5">
        <v>0.0</v>
      </c>
      <c r="E7" s="4" t="s">
        <v>344</v>
      </c>
      <c r="F7" s="4" t="s">
        <v>345</v>
      </c>
      <c r="G7" s="4" t="s">
        <v>346</v>
      </c>
    </row>
    <row r="8">
      <c r="A8" s="4" t="s">
        <v>357</v>
      </c>
      <c r="B8" s="4" t="s">
        <v>342</v>
      </c>
      <c r="C8" s="4" t="s">
        <v>358</v>
      </c>
      <c r="D8" s="5">
        <v>0.0</v>
      </c>
      <c r="E8" s="4" t="s">
        <v>344</v>
      </c>
      <c r="F8" s="4" t="s">
        <v>345</v>
      </c>
      <c r="G8" s="4" t="s">
        <v>346</v>
      </c>
    </row>
    <row r="9">
      <c r="A9" s="4" t="s">
        <v>359</v>
      </c>
      <c r="B9" s="4" t="s">
        <v>19</v>
      </c>
      <c r="C9" s="4" t="s">
        <v>360</v>
      </c>
      <c r="D9" s="5"/>
      <c r="E9" s="4" t="s">
        <v>361</v>
      </c>
      <c r="F9" s="4" t="s">
        <v>362</v>
      </c>
      <c r="G9" s="4" t="s">
        <v>363</v>
      </c>
    </row>
    <row r="10">
      <c r="A10" s="4" t="s">
        <v>364</v>
      </c>
      <c r="B10" s="4" t="s">
        <v>19</v>
      </c>
      <c r="C10" s="4" t="s">
        <v>107</v>
      </c>
      <c r="D10" s="5">
        <v>5.0</v>
      </c>
      <c r="E10" s="4" t="s">
        <v>71</v>
      </c>
      <c r="F10" s="4" t="s">
        <v>365</v>
      </c>
      <c r="G10" s="4" t="s">
        <v>346</v>
      </c>
    </row>
    <row r="11">
      <c r="A11" s="4" t="s">
        <v>366</v>
      </c>
      <c r="B11" s="4" t="s">
        <v>19</v>
      </c>
      <c r="C11" s="4" t="s">
        <v>111</v>
      </c>
      <c r="D11" s="5">
        <v>10.0</v>
      </c>
      <c r="E11" s="4" t="s">
        <v>71</v>
      </c>
      <c r="F11" s="4" t="s">
        <v>365</v>
      </c>
      <c r="G11" s="4" t="s">
        <v>367</v>
      </c>
    </row>
    <row r="12">
      <c r="A12" s="4" t="s">
        <v>368</v>
      </c>
      <c r="B12" s="4" t="s">
        <v>19</v>
      </c>
      <c r="C12" s="4" t="s">
        <v>369</v>
      </c>
      <c r="D12" s="5"/>
      <c r="E12" s="4" t="s">
        <v>361</v>
      </c>
      <c r="F12" s="4" t="s">
        <v>370</v>
      </c>
      <c r="G12" s="4" t="s">
        <v>371</v>
      </c>
    </row>
    <row r="13">
      <c r="A13" s="4" t="s">
        <v>372</v>
      </c>
      <c r="B13" s="4" t="s">
        <v>19</v>
      </c>
      <c r="C13" s="4" t="s">
        <v>373</v>
      </c>
      <c r="D13" s="5"/>
      <c r="E13" s="4" t="s">
        <v>361</v>
      </c>
      <c r="F13" s="4" t="s">
        <v>370</v>
      </c>
      <c r="G13" s="4" t="s">
        <v>367</v>
      </c>
    </row>
    <row r="14">
      <c r="A14" s="4" t="s">
        <v>374</v>
      </c>
      <c r="B14" s="4" t="s">
        <v>19</v>
      </c>
      <c r="C14" s="4" t="s">
        <v>375</v>
      </c>
      <c r="D14" s="5"/>
      <c r="E14" s="4" t="s">
        <v>361</v>
      </c>
      <c r="F14" s="4" t="s">
        <v>376</v>
      </c>
      <c r="G14" s="4" t="s">
        <v>346</v>
      </c>
    </row>
    <row r="15">
      <c r="A15" s="4" t="s">
        <v>377</v>
      </c>
      <c r="B15" s="4" t="s">
        <v>19</v>
      </c>
      <c r="C15" s="4" t="s">
        <v>378</v>
      </c>
      <c r="D15" s="5"/>
      <c r="E15" s="4" t="s">
        <v>361</v>
      </c>
      <c r="F15" s="4" t="s">
        <v>370</v>
      </c>
      <c r="G15" s="4" t="s">
        <v>371</v>
      </c>
    </row>
    <row r="16">
      <c r="A16" s="4" t="s">
        <v>379</v>
      </c>
      <c r="B16" s="4" t="s">
        <v>19</v>
      </c>
      <c r="C16" s="4" t="s">
        <v>380</v>
      </c>
      <c r="D16" s="5"/>
      <c r="E16" s="4" t="s">
        <v>361</v>
      </c>
      <c r="F16" s="4" t="s">
        <v>370</v>
      </c>
      <c r="G16" s="4" t="s">
        <v>367</v>
      </c>
    </row>
    <row r="17">
      <c r="A17" s="4" t="s">
        <v>381</v>
      </c>
      <c r="B17" s="4" t="s">
        <v>19</v>
      </c>
      <c r="C17" s="4" t="s">
        <v>382</v>
      </c>
      <c r="D17" s="5"/>
      <c r="E17" s="4" t="s">
        <v>361</v>
      </c>
      <c r="F17" s="4" t="s">
        <v>376</v>
      </c>
      <c r="G17" s="4" t="s">
        <v>346</v>
      </c>
    </row>
    <row r="18">
      <c r="A18" s="4" t="s">
        <v>383</v>
      </c>
      <c r="B18" s="4" t="s">
        <v>19</v>
      </c>
      <c r="C18" s="4" t="s">
        <v>384</v>
      </c>
      <c r="D18" s="5"/>
      <c r="E18" s="4" t="s">
        <v>361</v>
      </c>
      <c r="F18" s="4" t="s">
        <v>376</v>
      </c>
      <c r="G18" s="4" t="s">
        <v>346</v>
      </c>
    </row>
    <row r="19">
      <c r="A19" s="4" t="s">
        <v>385</v>
      </c>
      <c r="B19" s="4" t="s">
        <v>108</v>
      </c>
      <c r="C19" s="4" t="s">
        <v>386</v>
      </c>
      <c r="D19" s="5">
        <v>5.0</v>
      </c>
      <c r="E19" s="4" t="s">
        <v>100</v>
      </c>
      <c r="F19" s="4" t="s">
        <v>387</v>
      </c>
      <c r="G19" s="4" t="s">
        <v>346</v>
      </c>
    </row>
    <row r="20">
      <c r="A20" s="4" t="s">
        <v>388</v>
      </c>
      <c r="B20" s="4" t="s">
        <v>108</v>
      </c>
      <c r="C20" s="4" t="s">
        <v>389</v>
      </c>
      <c r="D20" s="5">
        <v>8.0</v>
      </c>
      <c r="E20" s="4" t="s">
        <v>100</v>
      </c>
      <c r="F20" s="4" t="s">
        <v>387</v>
      </c>
      <c r="G20" s="4" t="s">
        <v>346</v>
      </c>
    </row>
    <row r="21" ht="15.75" customHeight="1">
      <c r="A21" s="4" t="s">
        <v>390</v>
      </c>
      <c r="B21" s="4" t="s">
        <v>108</v>
      </c>
      <c r="C21" s="4" t="s">
        <v>391</v>
      </c>
      <c r="D21" s="5">
        <v>12.0</v>
      </c>
      <c r="E21" s="4" t="s">
        <v>100</v>
      </c>
      <c r="F21" s="4" t="s">
        <v>387</v>
      </c>
      <c r="G21" s="4" t="s">
        <v>346</v>
      </c>
    </row>
    <row r="22" ht="15.75" customHeight="1">
      <c r="A22" s="4" t="s">
        <v>392</v>
      </c>
      <c r="B22" s="4" t="s">
        <v>393</v>
      </c>
      <c r="C22" s="4" t="s">
        <v>394</v>
      </c>
      <c r="D22" s="5"/>
      <c r="E22" s="4" t="s">
        <v>361</v>
      </c>
      <c r="F22" s="4" t="s">
        <v>395</v>
      </c>
      <c r="G22" s="4" t="s">
        <v>396</v>
      </c>
    </row>
    <row r="23" ht="15.75" customHeight="1">
      <c r="A23" s="4" t="s">
        <v>397</v>
      </c>
      <c r="B23" s="4" t="s">
        <v>393</v>
      </c>
      <c r="C23" s="4" t="s">
        <v>398</v>
      </c>
      <c r="D23" s="5"/>
      <c r="E23" s="4" t="s">
        <v>361</v>
      </c>
      <c r="F23" s="4" t="s">
        <v>395</v>
      </c>
      <c r="G23" s="4" t="s">
        <v>396</v>
      </c>
    </row>
    <row r="24" ht="15.75" customHeight="1">
      <c r="A24" s="4" t="s">
        <v>399</v>
      </c>
      <c r="B24" s="4" t="s">
        <v>393</v>
      </c>
      <c r="C24" s="4" t="s">
        <v>400</v>
      </c>
      <c r="D24" s="5"/>
      <c r="E24" s="4" t="s">
        <v>361</v>
      </c>
      <c r="F24" s="4" t="s">
        <v>395</v>
      </c>
      <c r="G24" s="4" t="s">
        <v>401</v>
      </c>
    </row>
    <row r="25" ht="15.75" customHeight="1">
      <c r="A25" s="4" t="s">
        <v>402</v>
      </c>
      <c r="B25" s="4" t="s">
        <v>393</v>
      </c>
      <c r="C25" s="4" t="s">
        <v>403</v>
      </c>
      <c r="D25" s="5"/>
      <c r="E25" s="4" t="s">
        <v>361</v>
      </c>
      <c r="F25" s="4" t="s">
        <v>395</v>
      </c>
      <c r="G25" s="4" t="s">
        <v>401</v>
      </c>
    </row>
    <row r="26" ht="15.75" customHeight="1">
      <c r="A26" s="4" t="s">
        <v>404</v>
      </c>
      <c r="B26" s="4" t="s">
        <v>393</v>
      </c>
      <c r="C26" s="4" t="s">
        <v>405</v>
      </c>
      <c r="D26" s="5"/>
      <c r="E26" s="4" t="s">
        <v>361</v>
      </c>
      <c r="F26" s="4" t="s">
        <v>395</v>
      </c>
      <c r="G26" s="4" t="s">
        <v>406</v>
      </c>
    </row>
    <row r="27" ht="15.75" customHeight="1">
      <c r="A27" s="4" t="s">
        <v>407</v>
      </c>
      <c r="B27" s="4" t="s">
        <v>393</v>
      </c>
      <c r="C27" s="4" t="s">
        <v>408</v>
      </c>
      <c r="D27" s="5"/>
      <c r="E27" s="4" t="s">
        <v>361</v>
      </c>
      <c r="F27" s="4" t="s">
        <v>395</v>
      </c>
      <c r="G27" s="4" t="s">
        <v>406</v>
      </c>
    </row>
    <row r="28" ht="15.75" customHeight="1">
      <c r="A28" s="4" t="s">
        <v>409</v>
      </c>
      <c r="B28" s="4" t="s">
        <v>393</v>
      </c>
      <c r="C28" s="4" t="s">
        <v>410</v>
      </c>
      <c r="D28" s="5"/>
      <c r="E28" s="4" t="s">
        <v>361</v>
      </c>
      <c r="F28" s="4" t="s">
        <v>395</v>
      </c>
      <c r="G28" s="4" t="s">
        <v>406</v>
      </c>
    </row>
    <row r="29" ht="15.75" customHeight="1">
      <c r="D29" s="6"/>
    </row>
    <row r="30" ht="15.75" customHeight="1">
      <c r="D30" s="6"/>
    </row>
    <row r="31" ht="15.75" customHeight="1">
      <c r="D31" s="6"/>
    </row>
    <row r="32" ht="15.75" customHeight="1">
      <c r="D32" s="6"/>
    </row>
    <row r="33" ht="15.75" customHeight="1">
      <c r="D33" s="6"/>
    </row>
    <row r="34" ht="15.75" customHeight="1">
      <c r="D34" s="6"/>
    </row>
    <row r="35" ht="15.75" customHeight="1">
      <c r="D35" s="6"/>
    </row>
    <row r="36" ht="15.75" customHeight="1">
      <c r="D36" s="6"/>
    </row>
    <row r="37" ht="15.75" customHeight="1">
      <c r="D37" s="6"/>
    </row>
    <row r="38" ht="15.75" customHeight="1">
      <c r="D38" s="6"/>
    </row>
    <row r="39" ht="15.75" customHeight="1">
      <c r="D39" s="6"/>
    </row>
    <row r="40" ht="15.75" customHeight="1">
      <c r="D40" s="6"/>
    </row>
    <row r="41" ht="15.75" customHeight="1">
      <c r="D41" s="6"/>
    </row>
    <row r="42" ht="15.75" customHeight="1">
      <c r="D42" s="6"/>
    </row>
    <row r="43" ht="15.75" customHeight="1">
      <c r="D43" s="6"/>
    </row>
    <row r="44" ht="15.75" customHeight="1">
      <c r="D44" s="6"/>
    </row>
    <row r="45" ht="15.75" customHeight="1">
      <c r="D45" s="6"/>
    </row>
    <row r="46" ht="15.75" customHeight="1">
      <c r="D46" s="6"/>
    </row>
    <row r="47" ht="15.75" customHeight="1">
      <c r="D47" s="6"/>
    </row>
    <row r="48" ht="15.75" customHeight="1">
      <c r="D48" s="6"/>
    </row>
    <row r="49" ht="15.75" customHeight="1">
      <c r="D49" s="6"/>
    </row>
    <row r="50" ht="15.75" customHeight="1">
      <c r="D50" s="6"/>
    </row>
    <row r="51" ht="15.75" customHeight="1">
      <c r="D51" s="6"/>
    </row>
    <row r="52" ht="15.75" customHeight="1">
      <c r="D52" s="6"/>
    </row>
    <row r="53" ht="15.75" customHeight="1">
      <c r="D53" s="6"/>
    </row>
    <row r="54" ht="15.75" customHeight="1">
      <c r="D54" s="6"/>
    </row>
    <row r="55" ht="15.75" customHeight="1">
      <c r="D55" s="6"/>
    </row>
    <row r="56" ht="15.75" customHeight="1">
      <c r="D56" s="6"/>
    </row>
    <row r="57" ht="15.75" customHeight="1">
      <c r="D57" s="6"/>
    </row>
    <row r="58" ht="15.75" customHeight="1">
      <c r="D58" s="6"/>
    </row>
    <row r="59" ht="15.75" customHeight="1">
      <c r="D59" s="6"/>
    </row>
    <row r="60" ht="15.75" customHeight="1">
      <c r="D60" s="6"/>
    </row>
    <row r="61" ht="15.75" customHeight="1">
      <c r="D61" s="6"/>
    </row>
    <row r="62" ht="15.75" customHeight="1">
      <c r="D62" s="6"/>
    </row>
    <row r="63" ht="15.75" customHeight="1">
      <c r="D63" s="6"/>
    </row>
    <row r="64" ht="15.75" customHeight="1">
      <c r="D64" s="6"/>
    </row>
    <row r="65" ht="15.75" customHeight="1">
      <c r="D65" s="6"/>
    </row>
    <row r="66" ht="15.75" customHeight="1">
      <c r="D66" s="6"/>
    </row>
    <row r="67" ht="15.75" customHeight="1">
      <c r="D67" s="6"/>
    </row>
    <row r="68" ht="15.75" customHeight="1">
      <c r="D68" s="6"/>
    </row>
    <row r="69" ht="15.75" customHeight="1">
      <c r="D69" s="6"/>
    </row>
    <row r="70" ht="15.75" customHeight="1">
      <c r="D70" s="6"/>
    </row>
    <row r="71" ht="15.75" customHeight="1">
      <c r="D71" s="6"/>
    </row>
    <row r="72" ht="15.75" customHeight="1">
      <c r="D72" s="6"/>
    </row>
    <row r="73" ht="15.75" customHeight="1">
      <c r="D73" s="6"/>
    </row>
    <row r="74" ht="15.75" customHeight="1">
      <c r="D74" s="6"/>
    </row>
    <row r="75" ht="15.75" customHeight="1">
      <c r="D75" s="6"/>
    </row>
    <row r="76" ht="15.75" customHeight="1">
      <c r="D76" s="6"/>
    </row>
    <row r="77" ht="15.75" customHeight="1">
      <c r="D77" s="6"/>
    </row>
    <row r="78" ht="15.75" customHeight="1">
      <c r="D78" s="6"/>
    </row>
    <row r="79" ht="15.75" customHeight="1">
      <c r="D79" s="6"/>
    </row>
    <row r="80" ht="15.75" customHeight="1">
      <c r="D80" s="6"/>
    </row>
    <row r="81" ht="15.75" customHeight="1">
      <c r="D81" s="6"/>
    </row>
    <row r="82" ht="15.75" customHeight="1">
      <c r="D82" s="6"/>
    </row>
    <row r="83" ht="15.75" customHeight="1">
      <c r="D83" s="6"/>
    </row>
    <row r="84" ht="15.75" customHeight="1">
      <c r="D84" s="6"/>
    </row>
    <row r="85" ht="15.75" customHeight="1">
      <c r="D85" s="6"/>
    </row>
    <row r="86" ht="15.75" customHeight="1">
      <c r="D86" s="6"/>
    </row>
    <row r="87" ht="15.75" customHeight="1">
      <c r="D87" s="6"/>
    </row>
    <row r="88" ht="15.75" customHeight="1">
      <c r="D88" s="6"/>
    </row>
    <row r="89" ht="15.75" customHeight="1">
      <c r="D89" s="6"/>
    </row>
    <row r="90" ht="15.75" customHeight="1">
      <c r="D90" s="6"/>
    </row>
    <row r="91" ht="15.75" customHeight="1">
      <c r="D91" s="6"/>
    </row>
    <row r="92" ht="15.75" customHeight="1">
      <c r="D92" s="6"/>
    </row>
    <row r="93" ht="15.75" customHeight="1">
      <c r="D93" s="6"/>
    </row>
    <row r="94" ht="15.75" customHeight="1">
      <c r="D94" s="6"/>
    </row>
    <row r="95" ht="15.75" customHeight="1">
      <c r="D95" s="6"/>
    </row>
    <row r="96" ht="15.75" customHeight="1">
      <c r="D96" s="6"/>
    </row>
    <row r="97" ht="15.75" customHeight="1">
      <c r="D97" s="6"/>
    </row>
    <row r="98" ht="15.75" customHeight="1">
      <c r="D98" s="6"/>
    </row>
    <row r="99" ht="15.75" customHeight="1">
      <c r="D99" s="6"/>
    </row>
    <row r="100" ht="15.75" customHeight="1">
      <c r="D100" s="6"/>
    </row>
    <row r="101" ht="15.75" customHeight="1">
      <c r="D101" s="6"/>
    </row>
    <row r="102" ht="15.75" customHeight="1">
      <c r="D102" s="6"/>
    </row>
    <row r="103" ht="15.75" customHeight="1">
      <c r="D103" s="6"/>
    </row>
    <row r="104" ht="15.75" customHeight="1">
      <c r="D104" s="6"/>
    </row>
    <row r="105" ht="15.75" customHeight="1">
      <c r="D105" s="6"/>
    </row>
    <row r="106" ht="15.75" customHeight="1">
      <c r="D106" s="6"/>
    </row>
    <row r="107" ht="15.75" customHeight="1">
      <c r="D107" s="6"/>
    </row>
    <row r="108" ht="15.75" customHeight="1">
      <c r="D108" s="6"/>
    </row>
    <row r="109" ht="15.75" customHeight="1">
      <c r="D109" s="6"/>
    </row>
    <row r="110" ht="15.75" customHeight="1">
      <c r="D110" s="6"/>
    </row>
    <row r="111" ht="15.75" customHeight="1">
      <c r="D111" s="6"/>
    </row>
    <row r="112" ht="15.75" customHeight="1">
      <c r="D112" s="6"/>
    </row>
    <row r="113" ht="15.75" customHeight="1">
      <c r="D113" s="6"/>
    </row>
    <row r="114" ht="15.75" customHeight="1">
      <c r="D114" s="6"/>
    </row>
    <row r="115" ht="15.75" customHeight="1">
      <c r="D115" s="6"/>
    </row>
    <row r="116" ht="15.75" customHeight="1">
      <c r="D116" s="6"/>
    </row>
    <row r="117" ht="15.75" customHeight="1">
      <c r="D117" s="6"/>
    </row>
    <row r="118" ht="15.75" customHeight="1">
      <c r="D118" s="6"/>
    </row>
    <row r="119" ht="15.75" customHeight="1">
      <c r="D119" s="6"/>
    </row>
    <row r="120" ht="15.75" customHeight="1">
      <c r="D120" s="6"/>
    </row>
    <row r="121" ht="15.75" customHeight="1">
      <c r="D121" s="6"/>
    </row>
    <row r="122" ht="15.75" customHeight="1">
      <c r="D122" s="6"/>
    </row>
    <row r="123" ht="15.75" customHeight="1">
      <c r="D123" s="6"/>
    </row>
    <row r="124" ht="15.75" customHeight="1">
      <c r="D124" s="6"/>
    </row>
    <row r="125" ht="15.75" customHeight="1">
      <c r="D125" s="6"/>
    </row>
    <row r="126" ht="15.75" customHeight="1">
      <c r="D126" s="6"/>
    </row>
    <row r="127" ht="15.75" customHeight="1">
      <c r="D127" s="6"/>
    </row>
    <row r="128" ht="15.75" customHeight="1">
      <c r="D128" s="6"/>
    </row>
    <row r="129" ht="15.75" customHeight="1">
      <c r="D129" s="6"/>
    </row>
    <row r="130" ht="15.75" customHeight="1">
      <c r="D130" s="6"/>
    </row>
    <row r="131" ht="15.75" customHeight="1">
      <c r="D131" s="6"/>
    </row>
    <row r="132" ht="15.75" customHeight="1">
      <c r="D132" s="6"/>
    </row>
    <row r="133" ht="15.75" customHeight="1">
      <c r="D133" s="6"/>
    </row>
    <row r="134" ht="15.75" customHeight="1">
      <c r="D134" s="6"/>
    </row>
    <row r="135" ht="15.75" customHeight="1">
      <c r="D135" s="6"/>
    </row>
    <row r="136" ht="15.75" customHeight="1">
      <c r="D136" s="6"/>
    </row>
    <row r="137" ht="15.75" customHeight="1">
      <c r="D137" s="6"/>
    </row>
    <row r="138" ht="15.75" customHeight="1">
      <c r="D138" s="6"/>
    </row>
    <row r="139" ht="15.75" customHeight="1">
      <c r="D139" s="6"/>
    </row>
    <row r="140" ht="15.75" customHeight="1">
      <c r="D140" s="6"/>
    </row>
    <row r="141" ht="15.75" customHeight="1">
      <c r="D141" s="6"/>
    </row>
    <row r="142" ht="15.75" customHeight="1">
      <c r="D142" s="6"/>
    </row>
    <row r="143" ht="15.75" customHeight="1">
      <c r="D143" s="6"/>
    </row>
    <row r="144" ht="15.75" customHeight="1">
      <c r="D144" s="6"/>
    </row>
    <row r="145" ht="15.75" customHeight="1">
      <c r="D145" s="6"/>
    </row>
    <row r="146" ht="15.75" customHeight="1">
      <c r="D146" s="6"/>
    </row>
    <row r="147" ht="15.75" customHeight="1">
      <c r="D147" s="6"/>
    </row>
    <row r="148" ht="15.75" customHeight="1">
      <c r="D148" s="6"/>
    </row>
    <row r="149" ht="15.75" customHeight="1">
      <c r="D149" s="6"/>
    </row>
    <row r="150" ht="15.75" customHeight="1">
      <c r="D150" s="6"/>
    </row>
    <row r="151" ht="15.75" customHeight="1">
      <c r="D151" s="6"/>
    </row>
    <row r="152" ht="15.75" customHeight="1">
      <c r="D152" s="6"/>
    </row>
    <row r="153" ht="15.75" customHeight="1">
      <c r="D153" s="6"/>
    </row>
    <row r="154" ht="15.75" customHeight="1">
      <c r="D154" s="6"/>
    </row>
    <row r="155" ht="15.75" customHeight="1">
      <c r="D155" s="6"/>
    </row>
    <row r="156" ht="15.75" customHeight="1">
      <c r="D156" s="6"/>
    </row>
    <row r="157" ht="15.75" customHeight="1">
      <c r="D157" s="6"/>
    </row>
    <row r="158" ht="15.75" customHeight="1">
      <c r="D158" s="6"/>
    </row>
    <row r="159" ht="15.75" customHeight="1">
      <c r="D159" s="6"/>
    </row>
    <row r="160" ht="15.75" customHeight="1">
      <c r="D160" s="6"/>
    </row>
    <row r="161" ht="15.75" customHeight="1">
      <c r="D161" s="6"/>
    </row>
    <row r="162" ht="15.75" customHeight="1">
      <c r="D162" s="6"/>
    </row>
    <row r="163" ht="15.75" customHeight="1">
      <c r="D163" s="6"/>
    </row>
    <row r="164" ht="15.75" customHeight="1">
      <c r="D164" s="6"/>
    </row>
    <row r="165" ht="15.75" customHeight="1">
      <c r="D165" s="6"/>
    </row>
    <row r="166" ht="15.75" customHeight="1">
      <c r="D166" s="6"/>
    </row>
    <row r="167" ht="15.75" customHeight="1">
      <c r="D167" s="6"/>
    </row>
    <row r="168" ht="15.75" customHeight="1">
      <c r="D168" s="6"/>
    </row>
    <row r="169" ht="15.75" customHeight="1">
      <c r="D169" s="6"/>
    </row>
    <row r="170" ht="15.75" customHeight="1">
      <c r="D170" s="6"/>
    </row>
    <row r="171" ht="15.75" customHeight="1">
      <c r="D171" s="6"/>
    </row>
    <row r="172" ht="15.75" customHeight="1">
      <c r="D172" s="6"/>
    </row>
    <row r="173" ht="15.75" customHeight="1">
      <c r="D173" s="6"/>
    </row>
    <row r="174" ht="15.75" customHeight="1">
      <c r="D174" s="6"/>
    </row>
    <row r="175" ht="15.75" customHeight="1">
      <c r="D175" s="6"/>
    </row>
    <row r="176" ht="15.75" customHeight="1">
      <c r="D176" s="6"/>
    </row>
    <row r="177" ht="15.75" customHeight="1">
      <c r="D177" s="6"/>
    </row>
    <row r="178" ht="15.75" customHeight="1">
      <c r="D178" s="6"/>
    </row>
    <row r="179" ht="15.75" customHeight="1">
      <c r="D179" s="6"/>
    </row>
    <row r="180" ht="15.75" customHeight="1">
      <c r="D180" s="6"/>
    </row>
    <row r="181" ht="15.75" customHeight="1">
      <c r="D181" s="6"/>
    </row>
    <row r="182" ht="15.75" customHeight="1">
      <c r="D182" s="6"/>
    </row>
    <row r="183" ht="15.75" customHeight="1">
      <c r="D183" s="6"/>
    </row>
    <row r="184" ht="15.75" customHeight="1">
      <c r="D184" s="6"/>
    </row>
    <row r="185" ht="15.75" customHeight="1">
      <c r="D185" s="6"/>
    </row>
    <row r="186" ht="15.75" customHeight="1">
      <c r="D186" s="6"/>
    </row>
    <row r="187" ht="15.75" customHeight="1">
      <c r="D187" s="6"/>
    </row>
    <row r="188" ht="15.75" customHeight="1">
      <c r="D188" s="6"/>
    </row>
    <row r="189" ht="15.75" customHeight="1">
      <c r="D189" s="6"/>
    </row>
    <row r="190" ht="15.75" customHeight="1">
      <c r="D190" s="6"/>
    </row>
    <row r="191" ht="15.75" customHeight="1">
      <c r="D191" s="6"/>
    </row>
    <row r="192" ht="15.75" customHeight="1">
      <c r="D192" s="6"/>
    </row>
    <row r="193" ht="15.75" customHeight="1">
      <c r="D193" s="6"/>
    </row>
    <row r="194" ht="15.75" customHeight="1">
      <c r="D194" s="6"/>
    </row>
    <row r="195" ht="15.75" customHeight="1">
      <c r="D195" s="6"/>
    </row>
    <row r="196" ht="15.75" customHeight="1">
      <c r="D196" s="6"/>
    </row>
    <row r="197" ht="15.75" customHeight="1">
      <c r="D197" s="6"/>
    </row>
    <row r="198" ht="15.75" customHeight="1">
      <c r="D198" s="6"/>
    </row>
    <row r="199" ht="15.75" customHeight="1">
      <c r="D199" s="6"/>
    </row>
    <row r="200" ht="15.75" customHeight="1">
      <c r="D200" s="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70.0"/>
    <col customWidth="1" min="3" max="3" width="14.0"/>
    <col customWidth="1" min="4" max="26" width="8.63"/>
  </cols>
  <sheetData>
    <row r="1">
      <c r="A1" s="1" t="s">
        <v>411</v>
      </c>
      <c r="B1" s="1" t="s">
        <v>412</v>
      </c>
      <c r="C1" s="1" t="s">
        <v>117</v>
      </c>
    </row>
    <row r="2">
      <c r="A2" s="4" t="s">
        <v>413</v>
      </c>
      <c r="B2" s="4" t="s">
        <v>414</v>
      </c>
      <c r="C2" s="4" t="s">
        <v>415</v>
      </c>
    </row>
    <row r="3">
      <c r="A3" s="4" t="s">
        <v>416</v>
      </c>
      <c r="B3" s="4" t="s">
        <v>417</v>
      </c>
      <c r="C3" s="4" t="s">
        <v>415</v>
      </c>
    </row>
    <row r="4">
      <c r="A4" s="4" t="s">
        <v>418</v>
      </c>
      <c r="B4" s="4" t="s">
        <v>419</v>
      </c>
      <c r="C4" s="4" t="s">
        <v>415</v>
      </c>
    </row>
    <row r="5">
      <c r="A5" s="4" t="s">
        <v>420</v>
      </c>
      <c r="B5" s="4" t="s">
        <v>421</v>
      </c>
      <c r="C5" s="4" t="s">
        <v>415</v>
      </c>
    </row>
    <row r="6">
      <c r="A6" s="4" t="s">
        <v>422</v>
      </c>
      <c r="B6" s="4" t="s">
        <v>423</v>
      </c>
      <c r="C6" s="4" t="s">
        <v>415</v>
      </c>
    </row>
    <row r="7">
      <c r="A7" s="4" t="s">
        <v>424</v>
      </c>
      <c r="B7" s="4" t="s">
        <v>425</v>
      </c>
      <c r="C7" s="4" t="s">
        <v>415</v>
      </c>
    </row>
    <row r="8">
      <c r="A8" s="4" t="s">
        <v>426</v>
      </c>
      <c r="B8" s="4" t="s">
        <v>427</v>
      </c>
      <c r="C8" s="4" t="s">
        <v>415</v>
      </c>
    </row>
    <row r="9">
      <c r="A9" s="4" t="s">
        <v>428</v>
      </c>
      <c r="B9" s="4" t="s">
        <v>429</v>
      </c>
      <c r="C9" s="4" t="s">
        <v>430</v>
      </c>
    </row>
    <row r="10">
      <c r="A10" s="4" t="s">
        <v>431</v>
      </c>
      <c r="B10" s="4" t="s">
        <v>432</v>
      </c>
      <c r="C10" s="4" t="s">
        <v>415</v>
      </c>
    </row>
    <row r="11">
      <c r="A11" s="4" t="s">
        <v>433</v>
      </c>
      <c r="B11" s="4" t="s">
        <v>434</v>
      </c>
      <c r="C11" s="4" t="s">
        <v>346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0.0"/>
    <col customWidth="1" min="3" max="3" width="18.0"/>
    <col customWidth="1" min="4" max="4" width="44.0"/>
    <col customWidth="1" min="5" max="26" width="8.63"/>
  </cols>
  <sheetData>
    <row r="1">
      <c r="A1" s="1" t="s">
        <v>435</v>
      </c>
      <c r="B1" s="1" t="s">
        <v>340</v>
      </c>
      <c r="C1" s="1" t="s">
        <v>436</v>
      </c>
      <c r="D1" s="1" t="s">
        <v>9</v>
      </c>
    </row>
    <row r="2">
      <c r="A2" s="4" t="s">
        <v>437</v>
      </c>
      <c r="B2" s="7" t="s">
        <v>438</v>
      </c>
      <c r="C2" s="4" t="s">
        <v>439</v>
      </c>
      <c r="D2" s="7" t="s">
        <v>440</v>
      </c>
    </row>
    <row r="3">
      <c r="A3" s="7" t="s">
        <v>441</v>
      </c>
      <c r="B3" s="7" t="s">
        <v>442</v>
      </c>
      <c r="C3" s="7" t="s">
        <v>443</v>
      </c>
      <c r="D3" s="7" t="s">
        <v>444</v>
      </c>
    </row>
    <row r="4">
      <c r="A4" s="4"/>
      <c r="B4" s="4"/>
      <c r="C4" s="4"/>
      <c r="D4" s="4"/>
    </row>
    <row r="5">
      <c r="A5" s="4"/>
      <c r="B5" s="4"/>
      <c r="C5" s="4"/>
      <c r="D5" s="4"/>
    </row>
    <row r="6">
      <c r="A6" s="4"/>
      <c r="B6" s="4"/>
      <c r="C6" s="4"/>
      <c r="D6" s="4"/>
    </row>
    <row r="7">
      <c r="A7" s="4"/>
      <c r="B7" s="4"/>
      <c r="C7" s="4"/>
      <c r="D7" s="4"/>
    </row>
    <row r="8">
      <c r="A8" s="4"/>
      <c r="B8" s="4"/>
      <c r="C8" s="4"/>
      <c r="D8" s="4"/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4.0"/>
    <col customWidth="1" min="5" max="6" width="16.0"/>
    <col customWidth="1" min="7" max="7" width="18.0"/>
    <col customWidth="1" min="8" max="9" width="14.0"/>
    <col customWidth="1" min="10" max="10" width="44.0"/>
    <col customWidth="1" min="11" max="26" width="8.63"/>
  </cols>
  <sheetData>
    <row r="1">
      <c r="A1" s="1" t="s">
        <v>445</v>
      </c>
      <c r="B1" s="1" t="s">
        <v>435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450</v>
      </c>
      <c r="H1" s="1" t="s">
        <v>451</v>
      </c>
      <c r="I1" s="1" t="s">
        <v>452</v>
      </c>
      <c r="J1" s="1" t="s">
        <v>9</v>
      </c>
    </row>
    <row r="2">
      <c r="A2" s="4" t="s">
        <v>453</v>
      </c>
      <c r="B2" s="4" t="s">
        <v>437</v>
      </c>
      <c r="C2" s="8">
        <v>46149.0</v>
      </c>
      <c r="D2" s="8">
        <v>46152.0</v>
      </c>
      <c r="E2" s="4" t="s">
        <v>454</v>
      </c>
      <c r="F2" s="4" t="s">
        <v>455</v>
      </c>
      <c r="G2" s="4" t="s">
        <v>456</v>
      </c>
      <c r="H2" s="5">
        <f>SUMIF(Itens_Pedido!B:B,A2,Itens_Pedido!H:H)</f>
        <v>48</v>
      </c>
      <c r="I2" s="5">
        <f t="shared" ref="I2:I100" si="1">H2*0.5</f>
        <v>24</v>
      </c>
      <c r="J2" s="4" t="s">
        <v>457</v>
      </c>
    </row>
    <row r="3">
      <c r="A3" s="7" t="s">
        <v>458</v>
      </c>
      <c r="B3" s="7" t="s">
        <v>437</v>
      </c>
      <c r="C3" s="9">
        <v>46149.0</v>
      </c>
      <c r="D3" s="9">
        <v>46154.0</v>
      </c>
      <c r="E3" s="10">
        <v>0.5</v>
      </c>
      <c r="F3" s="7" t="s">
        <v>455</v>
      </c>
      <c r="G3" s="7" t="s">
        <v>456</v>
      </c>
      <c r="H3" s="5">
        <f>SUMIF(Itens_Pedido!B:B,A3,Itens_Pedido!H:H)</f>
        <v>0</v>
      </c>
      <c r="I3" s="5">
        <f t="shared" si="1"/>
        <v>0</v>
      </c>
      <c r="J3" s="4"/>
    </row>
    <row r="4">
      <c r="A4" s="4"/>
      <c r="B4" s="4"/>
      <c r="C4" s="8"/>
      <c r="D4" s="8"/>
      <c r="E4" s="4"/>
      <c r="F4" s="4"/>
      <c r="G4" s="4"/>
      <c r="H4" s="5">
        <f>SUMIF(Itens_Pedido!B:B,A4,Itens_Pedido!H:H)</f>
        <v>0</v>
      </c>
      <c r="I4" s="5">
        <f t="shared" si="1"/>
        <v>0</v>
      </c>
      <c r="J4" s="4"/>
    </row>
    <row r="5">
      <c r="A5" s="4"/>
      <c r="B5" s="4"/>
      <c r="C5" s="8"/>
      <c r="D5" s="8"/>
      <c r="E5" s="4"/>
      <c r="F5" s="4"/>
      <c r="G5" s="4"/>
      <c r="H5" s="5">
        <f>SUMIF(Itens_Pedido!B:B,A5,Itens_Pedido!H:H)</f>
        <v>0</v>
      </c>
      <c r="I5" s="5">
        <f t="shared" si="1"/>
        <v>0</v>
      </c>
      <c r="J5" s="4"/>
    </row>
    <row r="6">
      <c r="A6" s="4"/>
      <c r="B6" s="4"/>
      <c r="C6" s="8"/>
      <c r="D6" s="8"/>
      <c r="E6" s="4"/>
      <c r="F6" s="4"/>
      <c r="G6" s="4"/>
      <c r="H6" s="5">
        <f>SUMIF(Itens_Pedido!B:B,A6,Itens_Pedido!H:H)</f>
        <v>0</v>
      </c>
      <c r="I6" s="5">
        <f t="shared" si="1"/>
        <v>0</v>
      </c>
      <c r="J6" s="4"/>
    </row>
    <row r="7">
      <c r="A7" s="4"/>
      <c r="B7" s="4"/>
      <c r="C7" s="8"/>
      <c r="D7" s="8"/>
      <c r="E7" s="4"/>
      <c r="F7" s="4"/>
      <c r="G7" s="4"/>
      <c r="H7" s="5">
        <f>SUMIF(Itens_Pedido!B:B,A7,Itens_Pedido!H:H)</f>
        <v>0</v>
      </c>
      <c r="I7" s="5">
        <f t="shared" si="1"/>
        <v>0</v>
      </c>
      <c r="J7" s="4"/>
    </row>
    <row r="8">
      <c r="A8" s="4"/>
      <c r="B8" s="4"/>
      <c r="C8" s="8"/>
      <c r="D8" s="8"/>
      <c r="E8" s="4"/>
      <c r="F8" s="4"/>
      <c r="G8" s="4"/>
      <c r="H8" s="5">
        <f>SUMIF(Itens_Pedido!B:B,A8,Itens_Pedido!H:H)</f>
        <v>0</v>
      </c>
      <c r="I8" s="5">
        <f t="shared" si="1"/>
        <v>0</v>
      </c>
      <c r="J8" s="4"/>
    </row>
    <row r="9">
      <c r="A9" s="4"/>
      <c r="B9" s="4"/>
      <c r="C9" s="8"/>
      <c r="D9" s="8"/>
      <c r="E9" s="4"/>
      <c r="F9" s="4"/>
      <c r="G9" s="4"/>
      <c r="H9" s="5">
        <f>SUMIF(Itens_Pedido!B:B,A9,Itens_Pedido!H:H)</f>
        <v>0</v>
      </c>
      <c r="I9" s="5">
        <f t="shared" si="1"/>
        <v>0</v>
      </c>
      <c r="J9" s="4"/>
    </row>
    <row r="10">
      <c r="A10" s="4"/>
      <c r="B10" s="4"/>
      <c r="C10" s="8"/>
      <c r="D10" s="8"/>
      <c r="E10" s="4"/>
      <c r="F10" s="4"/>
      <c r="G10" s="4"/>
      <c r="H10" s="5">
        <f>SUMIF(Itens_Pedido!B:B,A10,Itens_Pedido!H:H)</f>
        <v>0</v>
      </c>
      <c r="I10" s="5">
        <f t="shared" si="1"/>
        <v>0</v>
      </c>
      <c r="J10" s="4"/>
    </row>
    <row r="11">
      <c r="A11" s="4"/>
      <c r="B11" s="4"/>
      <c r="C11" s="8"/>
      <c r="D11" s="8"/>
      <c r="E11" s="4"/>
      <c r="F11" s="4"/>
      <c r="G11" s="4"/>
      <c r="H11" s="5">
        <f>SUMIF(Itens_Pedido!B:B,A11,Itens_Pedido!H:H)</f>
        <v>0</v>
      </c>
      <c r="I11" s="5">
        <f t="shared" si="1"/>
        <v>0</v>
      </c>
      <c r="J11" s="4"/>
    </row>
    <row r="12">
      <c r="A12" s="4"/>
      <c r="B12" s="4"/>
      <c r="C12" s="8"/>
      <c r="D12" s="8"/>
      <c r="E12" s="4"/>
      <c r="F12" s="4"/>
      <c r="G12" s="4"/>
      <c r="H12" s="5">
        <f>SUMIF(Itens_Pedido!B:B,A12,Itens_Pedido!H:H)</f>
        <v>0</v>
      </c>
      <c r="I12" s="5">
        <f t="shared" si="1"/>
        <v>0</v>
      </c>
      <c r="J12" s="4"/>
    </row>
    <row r="13">
      <c r="A13" s="4"/>
      <c r="B13" s="4"/>
      <c r="C13" s="8"/>
      <c r="D13" s="8"/>
      <c r="E13" s="4"/>
      <c r="F13" s="4"/>
      <c r="G13" s="4"/>
      <c r="H13" s="5">
        <f>SUMIF(Itens_Pedido!B:B,A13,Itens_Pedido!H:H)</f>
        <v>0</v>
      </c>
      <c r="I13" s="5">
        <f t="shared" si="1"/>
        <v>0</v>
      </c>
      <c r="J13" s="4"/>
    </row>
    <row r="14">
      <c r="A14" s="4"/>
      <c r="B14" s="4"/>
      <c r="C14" s="8"/>
      <c r="D14" s="8"/>
      <c r="E14" s="4"/>
      <c r="F14" s="4"/>
      <c r="G14" s="4"/>
      <c r="H14" s="5">
        <f>SUMIF(Itens_Pedido!B:B,A14,Itens_Pedido!H:H)</f>
        <v>0</v>
      </c>
      <c r="I14" s="5">
        <f t="shared" si="1"/>
        <v>0</v>
      </c>
      <c r="J14" s="4"/>
    </row>
    <row r="15">
      <c r="A15" s="4"/>
      <c r="B15" s="4"/>
      <c r="C15" s="8"/>
      <c r="D15" s="8"/>
      <c r="E15" s="4"/>
      <c r="F15" s="4"/>
      <c r="G15" s="4"/>
      <c r="H15" s="5">
        <f>SUMIF(Itens_Pedido!B:B,A15,Itens_Pedido!H:H)</f>
        <v>0</v>
      </c>
      <c r="I15" s="5">
        <f t="shared" si="1"/>
        <v>0</v>
      </c>
      <c r="J15" s="4"/>
    </row>
    <row r="16">
      <c r="A16" s="4"/>
      <c r="B16" s="4"/>
      <c r="C16" s="8"/>
      <c r="D16" s="8"/>
      <c r="E16" s="4"/>
      <c r="F16" s="4"/>
      <c r="G16" s="4"/>
      <c r="H16" s="5">
        <f>SUMIF(Itens_Pedido!B:B,A16,Itens_Pedido!H:H)</f>
        <v>0</v>
      </c>
      <c r="I16" s="5">
        <f t="shared" si="1"/>
        <v>0</v>
      </c>
      <c r="J16" s="4"/>
    </row>
    <row r="17">
      <c r="A17" s="4"/>
      <c r="B17" s="4"/>
      <c r="C17" s="8"/>
      <c r="D17" s="8"/>
      <c r="E17" s="4"/>
      <c r="F17" s="4"/>
      <c r="G17" s="4"/>
      <c r="H17" s="5">
        <f>SUMIF(Itens_Pedido!B:B,A17,Itens_Pedido!H:H)</f>
        <v>0</v>
      </c>
      <c r="I17" s="5">
        <f t="shared" si="1"/>
        <v>0</v>
      </c>
      <c r="J17" s="4"/>
    </row>
    <row r="18">
      <c r="A18" s="4"/>
      <c r="B18" s="4"/>
      <c r="C18" s="8"/>
      <c r="D18" s="8"/>
      <c r="E18" s="4"/>
      <c r="F18" s="4"/>
      <c r="G18" s="4"/>
      <c r="H18" s="5">
        <f>SUMIF(Itens_Pedido!B:B,A18,Itens_Pedido!H:H)</f>
        <v>0</v>
      </c>
      <c r="I18" s="5">
        <f t="shared" si="1"/>
        <v>0</v>
      </c>
      <c r="J18" s="4"/>
    </row>
    <row r="19">
      <c r="A19" s="4"/>
      <c r="B19" s="4"/>
      <c r="C19" s="8"/>
      <c r="D19" s="8"/>
      <c r="E19" s="4"/>
      <c r="F19" s="4"/>
      <c r="G19" s="4"/>
      <c r="H19" s="5">
        <f>SUMIF(Itens_Pedido!B:B,A19,Itens_Pedido!H:H)</f>
        <v>0</v>
      </c>
      <c r="I19" s="5">
        <f t="shared" si="1"/>
        <v>0</v>
      </c>
      <c r="J19" s="4"/>
    </row>
    <row r="20">
      <c r="A20" s="4"/>
      <c r="B20" s="4"/>
      <c r="C20" s="8"/>
      <c r="D20" s="8"/>
      <c r="E20" s="4"/>
      <c r="F20" s="4"/>
      <c r="G20" s="4"/>
      <c r="H20" s="5">
        <f>SUMIF(Itens_Pedido!B:B,A20,Itens_Pedido!H:H)</f>
        <v>0</v>
      </c>
      <c r="I20" s="5">
        <f t="shared" si="1"/>
        <v>0</v>
      </c>
      <c r="J20" s="4"/>
    </row>
    <row r="21" ht="15.75" customHeight="1">
      <c r="A21" s="4"/>
      <c r="B21" s="4"/>
      <c r="C21" s="8"/>
      <c r="D21" s="8"/>
      <c r="E21" s="4"/>
      <c r="F21" s="4"/>
      <c r="G21" s="4"/>
      <c r="H21" s="5">
        <f>SUMIF(Itens_Pedido!B:B,A21,Itens_Pedido!H:H)</f>
        <v>0</v>
      </c>
      <c r="I21" s="5">
        <f t="shared" si="1"/>
        <v>0</v>
      </c>
      <c r="J21" s="4"/>
    </row>
    <row r="22" ht="15.75" customHeight="1">
      <c r="A22" s="4"/>
      <c r="B22" s="4"/>
      <c r="C22" s="8"/>
      <c r="D22" s="8"/>
      <c r="E22" s="4"/>
      <c r="F22" s="4"/>
      <c r="G22" s="4"/>
      <c r="H22" s="5">
        <f>SUMIF(Itens_Pedido!B:B,A22,Itens_Pedido!H:H)</f>
        <v>0</v>
      </c>
      <c r="I22" s="5">
        <f t="shared" si="1"/>
        <v>0</v>
      </c>
      <c r="J22" s="4"/>
    </row>
    <row r="23" ht="15.75" customHeight="1">
      <c r="A23" s="4"/>
      <c r="B23" s="4"/>
      <c r="C23" s="8"/>
      <c r="D23" s="8"/>
      <c r="E23" s="4"/>
      <c r="F23" s="4"/>
      <c r="G23" s="4"/>
      <c r="H23" s="5">
        <f>SUMIF(Itens_Pedido!B:B,A23,Itens_Pedido!H:H)</f>
        <v>0</v>
      </c>
      <c r="I23" s="5">
        <f t="shared" si="1"/>
        <v>0</v>
      </c>
      <c r="J23" s="4"/>
    </row>
    <row r="24" ht="15.75" customHeight="1">
      <c r="A24" s="4"/>
      <c r="B24" s="4"/>
      <c r="C24" s="8"/>
      <c r="D24" s="8"/>
      <c r="E24" s="4"/>
      <c r="F24" s="4"/>
      <c r="G24" s="4"/>
      <c r="H24" s="5">
        <f>SUMIF(Itens_Pedido!B:B,A24,Itens_Pedido!H:H)</f>
        <v>0</v>
      </c>
      <c r="I24" s="5">
        <f t="shared" si="1"/>
        <v>0</v>
      </c>
      <c r="J24" s="4"/>
    </row>
    <row r="25" ht="15.75" customHeight="1">
      <c r="A25" s="4"/>
      <c r="B25" s="4"/>
      <c r="C25" s="8"/>
      <c r="D25" s="8"/>
      <c r="E25" s="4"/>
      <c r="F25" s="4"/>
      <c r="G25" s="4"/>
      <c r="H25" s="5">
        <f>SUMIF(Itens_Pedido!B:B,A25,Itens_Pedido!H:H)</f>
        <v>0</v>
      </c>
      <c r="I25" s="5">
        <f t="shared" si="1"/>
        <v>0</v>
      </c>
      <c r="J25" s="4"/>
    </row>
    <row r="26" ht="15.75" customHeight="1">
      <c r="A26" s="4"/>
      <c r="B26" s="4"/>
      <c r="C26" s="8"/>
      <c r="D26" s="8"/>
      <c r="E26" s="4"/>
      <c r="F26" s="4"/>
      <c r="G26" s="4"/>
      <c r="H26" s="5">
        <f>SUMIF(Itens_Pedido!B:B,A26,Itens_Pedido!H:H)</f>
        <v>0</v>
      </c>
      <c r="I26" s="5">
        <f t="shared" si="1"/>
        <v>0</v>
      </c>
      <c r="J26" s="4"/>
    </row>
    <row r="27" ht="15.75" customHeight="1">
      <c r="A27" s="4"/>
      <c r="B27" s="4"/>
      <c r="C27" s="8"/>
      <c r="D27" s="8"/>
      <c r="E27" s="4"/>
      <c r="F27" s="4"/>
      <c r="G27" s="4"/>
      <c r="H27" s="5">
        <f>SUMIF(Itens_Pedido!B:B,A27,Itens_Pedido!H:H)</f>
        <v>0</v>
      </c>
      <c r="I27" s="5">
        <f t="shared" si="1"/>
        <v>0</v>
      </c>
      <c r="J27" s="4"/>
    </row>
    <row r="28" ht="15.75" customHeight="1">
      <c r="A28" s="4"/>
      <c r="B28" s="4"/>
      <c r="C28" s="8"/>
      <c r="D28" s="8"/>
      <c r="E28" s="4"/>
      <c r="F28" s="4"/>
      <c r="G28" s="4"/>
      <c r="H28" s="5">
        <f>SUMIF(Itens_Pedido!B:B,A28,Itens_Pedido!H:H)</f>
        <v>0</v>
      </c>
      <c r="I28" s="5">
        <f t="shared" si="1"/>
        <v>0</v>
      </c>
      <c r="J28" s="4"/>
    </row>
    <row r="29" ht="15.75" customHeight="1">
      <c r="A29" s="4"/>
      <c r="B29" s="4"/>
      <c r="C29" s="8"/>
      <c r="D29" s="8"/>
      <c r="E29" s="4"/>
      <c r="F29" s="4"/>
      <c r="G29" s="4"/>
      <c r="H29" s="5">
        <f>SUMIF(Itens_Pedido!B:B,A29,Itens_Pedido!H:H)</f>
        <v>0</v>
      </c>
      <c r="I29" s="5">
        <f t="shared" si="1"/>
        <v>0</v>
      </c>
      <c r="J29" s="4"/>
    </row>
    <row r="30" ht="15.75" customHeight="1">
      <c r="A30" s="4"/>
      <c r="B30" s="4"/>
      <c r="C30" s="8"/>
      <c r="D30" s="8"/>
      <c r="E30" s="4"/>
      <c r="F30" s="4"/>
      <c r="G30" s="4"/>
      <c r="H30" s="5">
        <f>SUMIF(Itens_Pedido!B:B,A30,Itens_Pedido!H:H)</f>
        <v>0</v>
      </c>
      <c r="I30" s="5">
        <f t="shared" si="1"/>
        <v>0</v>
      </c>
      <c r="J30" s="4"/>
    </row>
    <row r="31" ht="15.75" customHeight="1">
      <c r="A31" s="4"/>
      <c r="B31" s="4"/>
      <c r="C31" s="8"/>
      <c r="D31" s="8"/>
      <c r="E31" s="4"/>
      <c r="F31" s="4"/>
      <c r="G31" s="4"/>
      <c r="H31" s="5">
        <f>SUMIF(Itens_Pedido!B:B,A31,Itens_Pedido!H:H)</f>
        <v>0</v>
      </c>
      <c r="I31" s="5">
        <f t="shared" si="1"/>
        <v>0</v>
      </c>
      <c r="J31" s="4"/>
    </row>
    <row r="32" ht="15.75" customHeight="1">
      <c r="A32" s="4"/>
      <c r="B32" s="4"/>
      <c r="C32" s="8"/>
      <c r="D32" s="8"/>
      <c r="E32" s="4"/>
      <c r="F32" s="4"/>
      <c r="G32" s="4"/>
      <c r="H32" s="5">
        <f>SUMIF(Itens_Pedido!B:B,A32,Itens_Pedido!H:H)</f>
        <v>0</v>
      </c>
      <c r="I32" s="5">
        <f t="shared" si="1"/>
        <v>0</v>
      </c>
      <c r="J32" s="4"/>
    </row>
    <row r="33" ht="15.75" customHeight="1">
      <c r="A33" s="4"/>
      <c r="B33" s="4"/>
      <c r="C33" s="8"/>
      <c r="D33" s="8"/>
      <c r="E33" s="4"/>
      <c r="F33" s="4"/>
      <c r="G33" s="4"/>
      <c r="H33" s="5">
        <f>SUMIF(Itens_Pedido!B:B,A33,Itens_Pedido!H:H)</f>
        <v>0</v>
      </c>
      <c r="I33" s="5">
        <f t="shared" si="1"/>
        <v>0</v>
      </c>
      <c r="J33" s="4"/>
    </row>
    <row r="34" ht="15.75" customHeight="1">
      <c r="A34" s="4"/>
      <c r="B34" s="4"/>
      <c r="C34" s="8"/>
      <c r="D34" s="8"/>
      <c r="E34" s="4"/>
      <c r="F34" s="4"/>
      <c r="G34" s="4"/>
      <c r="H34" s="5">
        <f>SUMIF(Itens_Pedido!B:B,A34,Itens_Pedido!H:H)</f>
        <v>0</v>
      </c>
      <c r="I34" s="5">
        <f t="shared" si="1"/>
        <v>0</v>
      </c>
      <c r="J34" s="4"/>
    </row>
    <row r="35" ht="15.75" customHeight="1">
      <c r="A35" s="4"/>
      <c r="B35" s="4"/>
      <c r="C35" s="8"/>
      <c r="D35" s="8"/>
      <c r="E35" s="4"/>
      <c r="F35" s="4"/>
      <c r="G35" s="4"/>
      <c r="H35" s="5">
        <f>SUMIF(Itens_Pedido!B:B,A35,Itens_Pedido!H:H)</f>
        <v>0</v>
      </c>
      <c r="I35" s="5">
        <f t="shared" si="1"/>
        <v>0</v>
      </c>
      <c r="J35" s="4"/>
    </row>
    <row r="36" ht="15.75" customHeight="1">
      <c r="A36" s="4"/>
      <c r="B36" s="4"/>
      <c r="C36" s="8"/>
      <c r="D36" s="8"/>
      <c r="E36" s="4"/>
      <c r="F36" s="4"/>
      <c r="G36" s="4"/>
      <c r="H36" s="5">
        <f>SUMIF(Itens_Pedido!B:B,A36,Itens_Pedido!H:H)</f>
        <v>0</v>
      </c>
      <c r="I36" s="5">
        <f t="shared" si="1"/>
        <v>0</v>
      </c>
      <c r="J36" s="4"/>
    </row>
    <row r="37" ht="15.75" customHeight="1">
      <c r="A37" s="4"/>
      <c r="B37" s="4"/>
      <c r="C37" s="8"/>
      <c r="D37" s="8"/>
      <c r="E37" s="4"/>
      <c r="F37" s="4"/>
      <c r="G37" s="4"/>
      <c r="H37" s="5">
        <f>SUMIF(Itens_Pedido!B:B,A37,Itens_Pedido!H:H)</f>
        <v>0</v>
      </c>
      <c r="I37" s="5">
        <f t="shared" si="1"/>
        <v>0</v>
      </c>
      <c r="J37" s="4"/>
    </row>
    <row r="38" ht="15.75" customHeight="1">
      <c r="A38" s="4"/>
      <c r="B38" s="4"/>
      <c r="C38" s="8"/>
      <c r="D38" s="8"/>
      <c r="E38" s="4"/>
      <c r="F38" s="4"/>
      <c r="G38" s="4"/>
      <c r="H38" s="5">
        <f>SUMIF(Itens_Pedido!B:B,A38,Itens_Pedido!H:H)</f>
        <v>0</v>
      </c>
      <c r="I38" s="5">
        <f t="shared" si="1"/>
        <v>0</v>
      </c>
      <c r="J38" s="4"/>
    </row>
    <row r="39" ht="15.75" customHeight="1">
      <c r="A39" s="4"/>
      <c r="B39" s="4"/>
      <c r="C39" s="8"/>
      <c r="D39" s="8"/>
      <c r="E39" s="4"/>
      <c r="F39" s="4"/>
      <c r="G39" s="4"/>
      <c r="H39" s="5">
        <f>SUMIF(Itens_Pedido!B:B,A39,Itens_Pedido!H:H)</f>
        <v>0</v>
      </c>
      <c r="I39" s="5">
        <f t="shared" si="1"/>
        <v>0</v>
      </c>
      <c r="J39" s="4"/>
    </row>
    <row r="40" ht="15.75" customHeight="1">
      <c r="A40" s="4"/>
      <c r="B40" s="4"/>
      <c r="C40" s="8"/>
      <c r="D40" s="8"/>
      <c r="E40" s="4"/>
      <c r="F40" s="4"/>
      <c r="G40" s="4"/>
      <c r="H40" s="5">
        <f>SUMIF(Itens_Pedido!B:B,A40,Itens_Pedido!H:H)</f>
        <v>0</v>
      </c>
      <c r="I40" s="5">
        <f t="shared" si="1"/>
        <v>0</v>
      </c>
      <c r="J40" s="4"/>
    </row>
    <row r="41" ht="15.75" customHeight="1">
      <c r="A41" s="4"/>
      <c r="B41" s="4"/>
      <c r="C41" s="8"/>
      <c r="D41" s="8"/>
      <c r="E41" s="4"/>
      <c r="F41" s="4"/>
      <c r="G41" s="4"/>
      <c r="H41" s="5">
        <f>SUMIF(Itens_Pedido!B:B,A41,Itens_Pedido!H:H)</f>
        <v>0</v>
      </c>
      <c r="I41" s="5">
        <f t="shared" si="1"/>
        <v>0</v>
      </c>
      <c r="J41" s="4"/>
    </row>
    <row r="42" ht="15.75" customHeight="1">
      <c r="A42" s="4"/>
      <c r="B42" s="4"/>
      <c r="C42" s="8"/>
      <c r="D42" s="8"/>
      <c r="E42" s="4"/>
      <c r="F42" s="4"/>
      <c r="G42" s="4"/>
      <c r="H42" s="5">
        <f>SUMIF(Itens_Pedido!B:B,A42,Itens_Pedido!H:H)</f>
        <v>0</v>
      </c>
      <c r="I42" s="5">
        <f t="shared" si="1"/>
        <v>0</v>
      </c>
      <c r="J42" s="4"/>
    </row>
    <row r="43" ht="15.75" customHeight="1">
      <c r="A43" s="4"/>
      <c r="B43" s="4"/>
      <c r="C43" s="8"/>
      <c r="D43" s="8"/>
      <c r="E43" s="4"/>
      <c r="F43" s="4"/>
      <c r="G43" s="4"/>
      <c r="H43" s="5">
        <f>SUMIF(Itens_Pedido!B:B,A43,Itens_Pedido!H:H)</f>
        <v>0</v>
      </c>
      <c r="I43" s="5">
        <f t="shared" si="1"/>
        <v>0</v>
      </c>
      <c r="J43" s="4"/>
    </row>
    <row r="44" ht="15.75" customHeight="1">
      <c r="A44" s="4"/>
      <c r="B44" s="4"/>
      <c r="C44" s="8"/>
      <c r="D44" s="8"/>
      <c r="E44" s="4"/>
      <c r="F44" s="4"/>
      <c r="G44" s="4"/>
      <c r="H44" s="5">
        <f>SUMIF(Itens_Pedido!B:B,A44,Itens_Pedido!H:H)</f>
        <v>0</v>
      </c>
      <c r="I44" s="5">
        <f t="shared" si="1"/>
        <v>0</v>
      </c>
      <c r="J44" s="4"/>
    </row>
    <row r="45" ht="15.75" customHeight="1">
      <c r="A45" s="4"/>
      <c r="B45" s="4"/>
      <c r="C45" s="8"/>
      <c r="D45" s="8"/>
      <c r="E45" s="4"/>
      <c r="F45" s="4"/>
      <c r="G45" s="4"/>
      <c r="H45" s="5">
        <f>SUMIF(Itens_Pedido!B:B,A45,Itens_Pedido!H:H)</f>
        <v>0</v>
      </c>
      <c r="I45" s="5">
        <f t="shared" si="1"/>
        <v>0</v>
      </c>
      <c r="J45" s="4"/>
    </row>
    <row r="46" ht="15.75" customHeight="1">
      <c r="A46" s="4"/>
      <c r="B46" s="4"/>
      <c r="C46" s="8"/>
      <c r="D46" s="8"/>
      <c r="E46" s="4"/>
      <c r="F46" s="4"/>
      <c r="G46" s="4"/>
      <c r="H46" s="5">
        <f>SUMIF(Itens_Pedido!B:B,A46,Itens_Pedido!H:H)</f>
        <v>0</v>
      </c>
      <c r="I46" s="5">
        <f t="shared" si="1"/>
        <v>0</v>
      </c>
      <c r="J46" s="4"/>
    </row>
    <row r="47" ht="15.75" customHeight="1">
      <c r="A47" s="4"/>
      <c r="B47" s="4"/>
      <c r="C47" s="8"/>
      <c r="D47" s="8"/>
      <c r="E47" s="4"/>
      <c r="F47" s="4"/>
      <c r="G47" s="4"/>
      <c r="H47" s="5">
        <f>SUMIF(Itens_Pedido!B:B,A47,Itens_Pedido!H:H)</f>
        <v>0</v>
      </c>
      <c r="I47" s="5">
        <f t="shared" si="1"/>
        <v>0</v>
      </c>
      <c r="J47" s="4"/>
    </row>
    <row r="48" ht="15.75" customHeight="1">
      <c r="A48" s="4"/>
      <c r="B48" s="4"/>
      <c r="C48" s="8"/>
      <c r="D48" s="8"/>
      <c r="E48" s="4"/>
      <c r="F48" s="4"/>
      <c r="G48" s="4"/>
      <c r="H48" s="5">
        <f>SUMIF(Itens_Pedido!B:B,A48,Itens_Pedido!H:H)</f>
        <v>0</v>
      </c>
      <c r="I48" s="5">
        <f t="shared" si="1"/>
        <v>0</v>
      </c>
      <c r="J48" s="4"/>
    </row>
    <row r="49" ht="15.75" customHeight="1">
      <c r="A49" s="4"/>
      <c r="B49" s="4"/>
      <c r="C49" s="8"/>
      <c r="D49" s="8"/>
      <c r="E49" s="4"/>
      <c r="F49" s="4"/>
      <c r="G49" s="4"/>
      <c r="H49" s="5">
        <f>SUMIF(Itens_Pedido!B:B,A49,Itens_Pedido!H:H)</f>
        <v>0</v>
      </c>
      <c r="I49" s="5">
        <f t="shared" si="1"/>
        <v>0</v>
      </c>
      <c r="J49" s="4"/>
    </row>
    <row r="50" ht="15.75" customHeight="1">
      <c r="A50" s="4"/>
      <c r="B50" s="4"/>
      <c r="C50" s="8"/>
      <c r="D50" s="8"/>
      <c r="E50" s="4"/>
      <c r="F50" s="4"/>
      <c r="G50" s="4"/>
      <c r="H50" s="5">
        <f>SUMIF(Itens_Pedido!B:B,A50,Itens_Pedido!H:H)</f>
        <v>0</v>
      </c>
      <c r="I50" s="5">
        <f t="shared" si="1"/>
        <v>0</v>
      </c>
      <c r="J50" s="4"/>
    </row>
    <row r="51" ht="15.75" customHeight="1">
      <c r="A51" s="4"/>
      <c r="B51" s="4"/>
      <c r="C51" s="8"/>
      <c r="D51" s="8"/>
      <c r="E51" s="4"/>
      <c r="F51" s="4"/>
      <c r="G51" s="4"/>
      <c r="H51" s="5">
        <f>SUMIF(Itens_Pedido!B:B,A51,Itens_Pedido!H:H)</f>
        <v>0</v>
      </c>
      <c r="I51" s="5">
        <f t="shared" si="1"/>
        <v>0</v>
      </c>
      <c r="J51" s="4"/>
    </row>
    <row r="52" ht="15.75" customHeight="1">
      <c r="A52" s="4"/>
      <c r="B52" s="4"/>
      <c r="C52" s="8"/>
      <c r="D52" s="8"/>
      <c r="E52" s="4"/>
      <c r="F52" s="4"/>
      <c r="G52" s="4"/>
      <c r="H52" s="5">
        <f>SUMIF(Itens_Pedido!B:B,A52,Itens_Pedido!H:H)</f>
        <v>0</v>
      </c>
      <c r="I52" s="5">
        <f t="shared" si="1"/>
        <v>0</v>
      </c>
      <c r="J52" s="4"/>
    </row>
    <row r="53" ht="15.75" customHeight="1">
      <c r="A53" s="4"/>
      <c r="B53" s="4"/>
      <c r="C53" s="8"/>
      <c r="D53" s="8"/>
      <c r="E53" s="4"/>
      <c r="F53" s="4"/>
      <c r="G53" s="4"/>
      <c r="H53" s="5">
        <f>SUMIF(Itens_Pedido!B:B,A53,Itens_Pedido!H:H)</f>
        <v>0</v>
      </c>
      <c r="I53" s="5">
        <f t="shared" si="1"/>
        <v>0</v>
      </c>
      <c r="J53" s="4"/>
    </row>
    <row r="54" ht="15.75" customHeight="1">
      <c r="A54" s="4"/>
      <c r="B54" s="4"/>
      <c r="C54" s="8"/>
      <c r="D54" s="8"/>
      <c r="E54" s="4"/>
      <c r="F54" s="4"/>
      <c r="G54" s="4"/>
      <c r="H54" s="5">
        <f>SUMIF(Itens_Pedido!B:B,A54,Itens_Pedido!H:H)</f>
        <v>0</v>
      </c>
      <c r="I54" s="5">
        <f t="shared" si="1"/>
        <v>0</v>
      </c>
      <c r="J54" s="4"/>
    </row>
    <row r="55" ht="15.75" customHeight="1">
      <c r="A55" s="4"/>
      <c r="B55" s="4"/>
      <c r="C55" s="8"/>
      <c r="D55" s="8"/>
      <c r="E55" s="4"/>
      <c r="F55" s="4"/>
      <c r="G55" s="4"/>
      <c r="H55" s="5">
        <f>SUMIF(Itens_Pedido!B:B,A55,Itens_Pedido!H:H)</f>
        <v>0</v>
      </c>
      <c r="I55" s="5">
        <f t="shared" si="1"/>
        <v>0</v>
      </c>
      <c r="J55" s="4"/>
    </row>
    <row r="56" ht="15.75" customHeight="1">
      <c r="A56" s="4"/>
      <c r="B56" s="4"/>
      <c r="C56" s="8"/>
      <c r="D56" s="8"/>
      <c r="E56" s="4"/>
      <c r="F56" s="4"/>
      <c r="G56" s="4"/>
      <c r="H56" s="5">
        <f>SUMIF(Itens_Pedido!B:B,A56,Itens_Pedido!H:H)</f>
        <v>0</v>
      </c>
      <c r="I56" s="5">
        <f t="shared" si="1"/>
        <v>0</v>
      </c>
      <c r="J56" s="4"/>
    </row>
    <row r="57" ht="15.75" customHeight="1">
      <c r="A57" s="4"/>
      <c r="B57" s="4"/>
      <c r="C57" s="8"/>
      <c r="D57" s="8"/>
      <c r="E57" s="4"/>
      <c r="F57" s="4"/>
      <c r="G57" s="4"/>
      <c r="H57" s="5">
        <f>SUMIF(Itens_Pedido!B:B,A57,Itens_Pedido!H:H)</f>
        <v>0</v>
      </c>
      <c r="I57" s="5">
        <f t="shared" si="1"/>
        <v>0</v>
      </c>
      <c r="J57" s="4"/>
    </row>
    <row r="58" ht="15.75" customHeight="1">
      <c r="A58" s="4"/>
      <c r="B58" s="4"/>
      <c r="C58" s="8"/>
      <c r="D58" s="8"/>
      <c r="E58" s="4"/>
      <c r="F58" s="4"/>
      <c r="G58" s="4"/>
      <c r="H58" s="5">
        <f>SUMIF(Itens_Pedido!B:B,A58,Itens_Pedido!H:H)</f>
        <v>0</v>
      </c>
      <c r="I58" s="5">
        <f t="shared" si="1"/>
        <v>0</v>
      </c>
      <c r="J58" s="4"/>
    </row>
    <row r="59" ht="15.75" customHeight="1">
      <c r="A59" s="4"/>
      <c r="B59" s="4"/>
      <c r="C59" s="8"/>
      <c r="D59" s="8"/>
      <c r="E59" s="4"/>
      <c r="F59" s="4"/>
      <c r="G59" s="4"/>
      <c r="H59" s="5">
        <f>SUMIF(Itens_Pedido!B:B,A59,Itens_Pedido!H:H)</f>
        <v>0</v>
      </c>
      <c r="I59" s="5">
        <f t="shared" si="1"/>
        <v>0</v>
      </c>
      <c r="J59" s="4"/>
    </row>
    <row r="60" ht="15.75" customHeight="1">
      <c r="A60" s="4"/>
      <c r="B60" s="4"/>
      <c r="C60" s="8"/>
      <c r="D60" s="8"/>
      <c r="E60" s="4"/>
      <c r="F60" s="4"/>
      <c r="G60" s="4"/>
      <c r="H60" s="5">
        <f>SUMIF(Itens_Pedido!B:B,A60,Itens_Pedido!H:H)</f>
        <v>0</v>
      </c>
      <c r="I60" s="5">
        <f t="shared" si="1"/>
        <v>0</v>
      </c>
      <c r="J60" s="4"/>
    </row>
    <row r="61" ht="15.75" customHeight="1">
      <c r="A61" s="4"/>
      <c r="B61" s="4"/>
      <c r="C61" s="8"/>
      <c r="D61" s="8"/>
      <c r="E61" s="4"/>
      <c r="F61" s="4"/>
      <c r="G61" s="4"/>
      <c r="H61" s="5">
        <f>SUMIF(Itens_Pedido!B:B,A61,Itens_Pedido!H:H)</f>
        <v>0</v>
      </c>
      <c r="I61" s="5">
        <f t="shared" si="1"/>
        <v>0</v>
      </c>
      <c r="J61" s="4"/>
    </row>
    <row r="62" ht="15.75" customHeight="1">
      <c r="A62" s="4"/>
      <c r="B62" s="4"/>
      <c r="C62" s="8"/>
      <c r="D62" s="8"/>
      <c r="E62" s="4"/>
      <c r="F62" s="4"/>
      <c r="G62" s="4"/>
      <c r="H62" s="5">
        <f>SUMIF(Itens_Pedido!B:B,A62,Itens_Pedido!H:H)</f>
        <v>0</v>
      </c>
      <c r="I62" s="5">
        <f t="shared" si="1"/>
        <v>0</v>
      </c>
      <c r="J62" s="4"/>
    </row>
    <row r="63" ht="15.75" customHeight="1">
      <c r="A63" s="4"/>
      <c r="B63" s="4"/>
      <c r="C63" s="8"/>
      <c r="D63" s="8"/>
      <c r="E63" s="4"/>
      <c r="F63" s="4"/>
      <c r="G63" s="4"/>
      <c r="H63" s="5">
        <f>SUMIF(Itens_Pedido!B:B,A63,Itens_Pedido!H:H)</f>
        <v>0</v>
      </c>
      <c r="I63" s="5">
        <f t="shared" si="1"/>
        <v>0</v>
      </c>
      <c r="J63" s="4"/>
    </row>
    <row r="64" ht="15.75" customHeight="1">
      <c r="A64" s="4"/>
      <c r="B64" s="4"/>
      <c r="C64" s="8"/>
      <c r="D64" s="8"/>
      <c r="E64" s="4"/>
      <c r="F64" s="4"/>
      <c r="G64" s="4"/>
      <c r="H64" s="5">
        <f>SUMIF(Itens_Pedido!B:B,A64,Itens_Pedido!H:H)</f>
        <v>0</v>
      </c>
      <c r="I64" s="5">
        <f t="shared" si="1"/>
        <v>0</v>
      </c>
      <c r="J64" s="4"/>
    </row>
    <row r="65" ht="15.75" customHeight="1">
      <c r="A65" s="4"/>
      <c r="B65" s="4"/>
      <c r="C65" s="8"/>
      <c r="D65" s="8"/>
      <c r="E65" s="4"/>
      <c r="F65" s="4"/>
      <c r="G65" s="4"/>
      <c r="H65" s="5">
        <f>SUMIF(Itens_Pedido!B:B,A65,Itens_Pedido!H:H)</f>
        <v>0</v>
      </c>
      <c r="I65" s="5">
        <f t="shared" si="1"/>
        <v>0</v>
      </c>
      <c r="J65" s="4"/>
    </row>
    <row r="66" ht="15.75" customHeight="1">
      <c r="A66" s="4"/>
      <c r="B66" s="4"/>
      <c r="C66" s="8"/>
      <c r="D66" s="8"/>
      <c r="E66" s="4"/>
      <c r="F66" s="4"/>
      <c r="G66" s="4"/>
      <c r="H66" s="5">
        <f>SUMIF(Itens_Pedido!B:B,A66,Itens_Pedido!H:H)</f>
        <v>0</v>
      </c>
      <c r="I66" s="5">
        <f t="shared" si="1"/>
        <v>0</v>
      </c>
      <c r="J66" s="4"/>
    </row>
    <row r="67" ht="15.75" customHeight="1">
      <c r="A67" s="4"/>
      <c r="B67" s="4"/>
      <c r="C67" s="8"/>
      <c r="D67" s="8"/>
      <c r="E67" s="4"/>
      <c r="F67" s="4"/>
      <c r="G67" s="4"/>
      <c r="H67" s="5">
        <f>SUMIF(Itens_Pedido!B:B,A67,Itens_Pedido!H:H)</f>
        <v>0</v>
      </c>
      <c r="I67" s="5">
        <f t="shared" si="1"/>
        <v>0</v>
      </c>
      <c r="J67" s="4"/>
    </row>
    <row r="68" ht="15.75" customHeight="1">
      <c r="A68" s="4"/>
      <c r="B68" s="4"/>
      <c r="C68" s="8"/>
      <c r="D68" s="8"/>
      <c r="E68" s="4"/>
      <c r="F68" s="4"/>
      <c r="G68" s="4"/>
      <c r="H68" s="5">
        <f>SUMIF(Itens_Pedido!B:B,A68,Itens_Pedido!H:H)</f>
        <v>0</v>
      </c>
      <c r="I68" s="5">
        <f t="shared" si="1"/>
        <v>0</v>
      </c>
      <c r="J68" s="4"/>
    </row>
    <row r="69" ht="15.75" customHeight="1">
      <c r="A69" s="4"/>
      <c r="B69" s="4"/>
      <c r="C69" s="8"/>
      <c r="D69" s="8"/>
      <c r="E69" s="4"/>
      <c r="F69" s="4"/>
      <c r="G69" s="4"/>
      <c r="H69" s="5">
        <f>SUMIF(Itens_Pedido!B:B,A69,Itens_Pedido!H:H)</f>
        <v>0</v>
      </c>
      <c r="I69" s="5">
        <f t="shared" si="1"/>
        <v>0</v>
      </c>
      <c r="J69" s="4"/>
    </row>
    <row r="70" ht="15.75" customHeight="1">
      <c r="A70" s="4"/>
      <c r="B70" s="4"/>
      <c r="C70" s="8"/>
      <c r="D70" s="8"/>
      <c r="E70" s="4"/>
      <c r="F70" s="4"/>
      <c r="G70" s="4"/>
      <c r="H70" s="5">
        <f>SUMIF(Itens_Pedido!B:B,A70,Itens_Pedido!H:H)</f>
        <v>0</v>
      </c>
      <c r="I70" s="5">
        <f t="shared" si="1"/>
        <v>0</v>
      </c>
      <c r="J70" s="4"/>
    </row>
    <row r="71" ht="15.75" customHeight="1">
      <c r="A71" s="4"/>
      <c r="B71" s="4"/>
      <c r="C71" s="8"/>
      <c r="D71" s="8"/>
      <c r="E71" s="4"/>
      <c r="F71" s="4"/>
      <c r="G71" s="4"/>
      <c r="H71" s="5">
        <f>SUMIF(Itens_Pedido!B:B,A71,Itens_Pedido!H:H)</f>
        <v>0</v>
      </c>
      <c r="I71" s="5">
        <f t="shared" si="1"/>
        <v>0</v>
      </c>
      <c r="J71" s="4"/>
    </row>
    <row r="72" ht="15.75" customHeight="1">
      <c r="A72" s="4"/>
      <c r="B72" s="4"/>
      <c r="C72" s="8"/>
      <c r="D72" s="8"/>
      <c r="E72" s="4"/>
      <c r="F72" s="4"/>
      <c r="G72" s="4"/>
      <c r="H72" s="5">
        <f>SUMIF(Itens_Pedido!B:B,A72,Itens_Pedido!H:H)</f>
        <v>0</v>
      </c>
      <c r="I72" s="5">
        <f t="shared" si="1"/>
        <v>0</v>
      </c>
      <c r="J72" s="4"/>
    </row>
    <row r="73" ht="15.75" customHeight="1">
      <c r="A73" s="4"/>
      <c r="B73" s="4"/>
      <c r="C73" s="8"/>
      <c r="D73" s="8"/>
      <c r="E73" s="4"/>
      <c r="F73" s="4"/>
      <c r="G73" s="4"/>
      <c r="H73" s="5">
        <f>SUMIF(Itens_Pedido!B:B,A73,Itens_Pedido!H:H)</f>
        <v>0</v>
      </c>
      <c r="I73" s="5">
        <f t="shared" si="1"/>
        <v>0</v>
      </c>
      <c r="J73" s="4"/>
    </row>
    <row r="74" ht="15.75" customHeight="1">
      <c r="A74" s="4"/>
      <c r="B74" s="4"/>
      <c r="C74" s="8"/>
      <c r="D74" s="8"/>
      <c r="E74" s="4"/>
      <c r="F74" s="4"/>
      <c r="G74" s="4"/>
      <c r="H74" s="5">
        <f>SUMIF(Itens_Pedido!B:B,A74,Itens_Pedido!H:H)</f>
        <v>0</v>
      </c>
      <c r="I74" s="5">
        <f t="shared" si="1"/>
        <v>0</v>
      </c>
      <c r="J74" s="4"/>
    </row>
    <row r="75" ht="15.75" customHeight="1">
      <c r="A75" s="4"/>
      <c r="B75" s="4"/>
      <c r="C75" s="8"/>
      <c r="D75" s="8"/>
      <c r="E75" s="4"/>
      <c r="F75" s="4"/>
      <c r="G75" s="4"/>
      <c r="H75" s="5">
        <f>SUMIF(Itens_Pedido!B:B,A75,Itens_Pedido!H:H)</f>
        <v>0</v>
      </c>
      <c r="I75" s="5">
        <f t="shared" si="1"/>
        <v>0</v>
      </c>
      <c r="J75" s="4"/>
    </row>
    <row r="76" ht="15.75" customHeight="1">
      <c r="A76" s="4"/>
      <c r="B76" s="4"/>
      <c r="C76" s="8"/>
      <c r="D76" s="8"/>
      <c r="E76" s="4"/>
      <c r="F76" s="4"/>
      <c r="G76" s="4"/>
      <c r="H76" s="5">
        <f>SUMIF(Itens_Pedido!B:B,A76,Itens_Pedido!H:H)</f>
        <v>0</v>
      </c>
      <c r="I76" s="5">
        <f t="shared" si="1"/>
        <v>0</v>
      </c>
      <c r="J76" s="4"/>
    </row>
    <row r="77" ht="15.75" customHeight="1">
      <c r="A77" s="4"/>
      <c r="B77" s="4"/>
      <c r="C77" s="8"/>
      <c r="D77" s="8"/>
      <c r="E77" s="4"/>
      <c r="F77" s="4"/>
      <c r="G77" s="4"/>
      <c r="H77" s="5">
        <f>SUMIF(Itens_Pedido!B:B,A77,Itens_Pedido!H:H)</f>
        <v>0</v>
      </c>
      <c r="I77" s="5">
        <f t="shared" si="1"/>
        <v>0</v>
      </c>
      <c r="J77" s="4"/>
    </row>
    <row r="78" ht="15.75" customHeight="1">
      <c r="A78" s="4"/>
      <c r="B78" s="4"/>
      <c r="C78" s="8"/>
      <c r="D78" s="8"/>
      <c r="E78" s="4"/>
      <c r="F78" s="4"/>
      <c r="G78" s="4"/>
      <c r="H78" s="5">
        <f>SUMIF(Itens_Pedido!B:B,A78,Itens_Pedido!H:H)</f>
        <v>0</v>
      </c>
      <c r="I78" s="5">
        <f t="shared" si="1"/>
        <v>0</v>
      </c>
      <c r="J78" s="4"/>
    </row>
    <row r="79" ht="15.75" customHeight="1">
      <c r="A79" s="4"/>
      <c r="B79" s="4"/>
      <c r="C79" s="8"/>
      <c r="D79" s="8"/>
      <c r="E79" s="4"/>
      <c r="F79" s="4"/>
      <c r="G79" s="4"/>
      <c r="H79" s="5">
        <f>SUMIF(Itens_Pedido!B:B,A79,Itens_Pedido!H:H)</f>
        <v>0</v>
      </c>
      <c r="I79" s="5">
        <f t="shared" si="1"/>
        <v>0</v>
      </c>
      <c r="J79" s="4"/>
    </row>
    <row r="80" ht="15.75" customHeight="1">
      <c r="A80" s="4"/>
      <c r="B80" s="4"/>
      <c r="C80" s="8"/>
      <c r="D80" s="8"/>
      <c r="E80" s="4"/>
      <c r="F80" s="4"/>
      <c r="G80" s="4"/>
      <c r="H80" s="5">
        <f>SUMIF(Itens_Pedido!B:B,A80,Itens_Pedido!H:H)</f>
        <v>0</v>
      </c>
      <c r="I80" s="5">
        <f t="shared" si="1"/>
        <v>0</v>
      </c>
      <c r="J80" s="4"/>
    </row>
    <row r="81" ht="15.75" customHeight="1">
      <c r="A81" s="4"/>
      <c r="B81" s="4"/>
      <c r="C81" s="8"/>
      <c r="D81" s="8"/>
      <c r="E81" s="4"/>
      <c r="F81" s="4"/>
      <c r="G81" s="4"/>
      <c r="H81" s="5">
        <f>SUMIF(Itens_Pedido!B:B,A81,Itens_Pedido!H:H)</f>
        <v>0</v>
      </c>
      <c r="I81" s="5">
        <f t="shared" si="1"/>
        <v>0</v>
      </c>
      <c r="J81" s="4"/>
    </row>
    <row r="82" ht="15.75" customHeight="1">
      <c r="A82" s="4"/>
      <c r="B82" s="4"/>
      <c r="C82" s="8"/>
      <c r="D82" s="8"/>
      <c r="E82" s="4"/>
      <c r="F82" s="4"/>
      <c r="G82" s="4"/>
      <c r="H82" s="5">
        <f>SUMIF(Itens_Pedido!B:B,A82,Itens_Pedido!H:H)</f>
        <v>0</v>
      </c>
      <c r="I82" s="5">
        <f t="shared" si="1"/>
        <v>0</v>
      </c>
      <c r="J82" s="4"/>
    </row>
    <row r="83" ht="15.75" customHeight="1">
      <c r="A83" s="4"/>
      <c r="B83" s="4"/>
      <c r="C83" s="8"/>
      <c r="D83" s="8"/>
      <c r="E83" s="4"/>
      <c r="F83" s="4"/>
      <c r="G83" s="4"/>
      <c r="H83" s="5">
        <f>SUMIF(Itens_Pedido!B:B,A83,Itens_Pedido!H:H)</f>
        <v>0</v>
      </c>
      <c r="I83" s="5">
        <f t="shared" si="1"/>
        <v>0</v>
      </c>
      <c r="J83" s="4"/>
    </row>
    <row r="84" ht="15.75" customHeight="1">
      <c r="A84" s="4"/>
      <c r="B84" s="4"/>
      <c r="C84" s="8"/>
      <c r="D84" s="8"/>
      <c r="E84" s="4"/>
      <c r="F84" s="4"/>
      <c r="G84" s="4"/>
      <c r="H84" s="5">
        <f>SUMIF(Itens_Pedido!B:B,A84,Itens_Pedido!H:H)</f>
        <v>0</v>
      </c>
      <c r="I84" s="5">
        <f t="shared" si="1"/>
        <v>0</v>
      </c>
      <c r="J84" s="4"/>
    </row>
    <row r="85" ht="15.75" customHeight="1">
      <c r="A85" s="4"/>
      <c r="B85" s="4"/>
      <c r="C85" s="8"/>
      <c r="D85" s="8"/>
      <c r="E85" s="4"/>
      <c r="F85" s="4"/>
      <c r="G85" s="4"/>
      <c r="H85" s="5">
        <f>SUMIF(Itens_Pedido!B:B,A85,Itens_Pedido!H:H)</f>
        <v>0</v>
      </c>
      <c r="I85" s="5">
        <f t="shared" si="1"/>
        <v>0</v>
      </c>
      <c r="J85" s="4"/>
    </row>
    <row r="86" ht="15.75" customHeight="1">
      <c r="A86" s="4"/>
      <c r="B86" s="4"/>
      <c r="C86" s="8"/>
      <c r="D86" s="8"/>
      <c r="E86" s="4"/>
      <c r="F86" s="4"/>
      <c r="G86" s="4"/>
      <c r="H86" s="5">
        <f>SUMIF(Itens_Pedido!B:B,A86,Itens_Pedido!H:H)</f>
        <v>0</v>
      </c>
      <c r="I86" s="5">
        <f t="shared" si="1"/>
        <v>0</v>
      </c>
      <c r="J86" s="4"/>
    </row>
    <row r="87" ht="15.75" customHeight="1">
      <c r="A87" s="4"/>
      <c r="B87" s="4"/>
      <c r="C87" s="8"/>
      <c r="D87" s="8"/>
      <c r="E87" s="4"/>
      <c r="F87" s="4"/>
      <c r="G87" s="4"/>
      <c r="H87" s="5">
        <f>SUMIF(Itens_Pedido!B:B,A87,Itens_Pedido!H:H)</f>
        <v>0</v>
      </c>
      <c r="I87" s="5">
        <f t="shared" si="1"/>
        <v>0</v>
      </c>
      <c r="J87" s="4"/>
    </row>
    <row r="88" ht="15.75" customHeight="1">
      <c r="A88" s="4"/>
      <c r="B88" s="4"/>
      <c r="C88" s="8"/>
      <c r="D88" s="8"/>
      <c r="E88" s="4"/>
      <c r="F88" s="4"/>
      <c r="G88" s="4"/>
      <c r="H88" s="5">
        <f>SUMIF(Itens_Pedido!B:B,A88,Itens_Pedido!H:H)</f>
        <v>0</v>
      </c>
      <c r="I88" s="5">
        <f t="shared" si="1"/>
        <v>0</v>
      </c>
      <c r="J88" s="4"/>
    </row>
    <row r="89" ht="15.75" customHeight="1">
      <c r="A89" s="4"/>
      <c r="B89" s="4"/>
      <c r="C89" s="8"/>
      <c r="D89" s="8"/>
      <c r="E89" s="4"/>
      <c r="F89" s="4"/>
      <c r="G89" s="4"/>
      <c r="H89" s="5">
        <f>SUMIF(Itens_Pedido!B:B,A89,Itens_Pedido!H:H)</f>
        <v>0</v>
      </c>
      <c r="I89" s="5">
        <f t="shared" si="1"/>
        <v>0</v>
      </c>
      <c r="J89" s="4"/>
    </row>
    <row r="90" ht="15.75" customHeight="1">
      <c r="A90" s="4"/>
      <c r="B90" s="4"/>
      <c r="C90" s="8"/>
      <c r="D90" s="8"/>
      <c r="E90" s="4"/>
      <c r="F90" s="4"/>
      <c r="G90" s="4"/>
      <c r="H90" s="5">
        <f>SUMIF(Itens_Pedido!B:B,A90,Itens_Pedido!H:H)</f>
        <v>0</v>
      </c>
      <c r="I90" s="5">
        <f t="shared" si="1"/>
        <v>0</v>
      </c>
      <c r="J90" s="4"/>
    </row>
    <row r="91" ht="15.75" customHeight="1">
      <c r="A91" s="4"/>
      <c r="B91" s="4"/>
      <c r="C91" s="8"/>
      <c r="D91" s="8"/>
      <c r="E91" s="4"/>
      <c r="F91" s="4"/>
      <c r="G91" s="4"/>
      <c r="H91" s="5">
        <f>SUMIF(Itens_Pedido!B:B,A91,Itens_Pedido!H:H)</f>
        <v>0</v>
      </c>
      <c r="I91" s="5">
        <f t="shared" si="1"/>
        <v>0</v>
      </c>
      <c r="J91" s="4"/>
    </row>
    <row r="92" ht="15.75" customHeight="1">
      <c r="A92" s="4"/>
      <c r="B92" s="4"/>
      <c r="C92" s="8"/>
      <c r="D92" s="8"/>
      <c r="E92" s="4"/>
      <c r="F92" s="4"/>
      <c r="G92" s="4"/>
      <c r="H92" s="5">
        <f>SUMIF(Itens_Pedido!B:B,A92,Itens_Pedido!H:H)</f>
        <v>0</v>
      </c>
      <c r="I92" s="5">
        <f t="shared" si="1"/>
        <v>0</v>
      </c>
      <c r="J92" s="4"/>
    </row>
    <row r="93" ht="15.75" customHeight="1">
      <c r="A93" s="4"/>
      <c r="B93" s="4"/>
      <c r="C93" s="8"/>
      <c r="D93" s="8"/>
      <c r="E93" s="4"/>
      <c r="F93" s="4"/>
      <c r="G93" s="4"/>
      <c r="H93" s="5">
        <f>SUMIF(Itens_Pedido!B:B,A93,Itens_Pedido!H:H)</f>
        <v>0</v>
      </c>
      <c r="I93" s="5">
        <f t="shared" si="1"/>
        <v>0</v>
      </c>
      <c r="J93" s="4"/>
    </row>
    <row r="94" ht="15.75" customHeight="1">
      <c r="A94" s="4"/>
      <c r="B94" s="4"/>
      <c r="C94" s="8"/>
      <c r="D94" s="8"/>
      <c r="E94" s="4"/>
      <c r="F94" s="4"/>
      <c r="G94" s="4"/>
      <c r="H94" s="5">
        <f>SUMIF(Itens_Pedido!B:B,A94,Itens_Pedido!H:H)</f>
        <v>0</v>
      </c>
      <c r="I94" s="5">
        <f t="shared" si="1"/>
        <v>0</v>
      </c>
      <c r="J94" s="4"/>
    </row>
    <row r="95" ht="15.75" customHeight="1">
      <c r="A95" s="4"/>
      <c r="B95" s="4"/>
      <c r="C95" s="8"/>
      <c r="D95" s="8"/>
      <c r="E95" s="4"/>
      <c r="F95" s="4"/>
      <c r="G95" s="4"/>
      <c r="H95" s="5">
        <f>SUMIF(Itens_Pedido!B:B,A95,Itens_Pedido!H:H)</f>
        <v>0</v>
      </c>
      <c r="I95" s="5">
        <f t="shared" si="1"/>
        <v>0</v>
      </c>
      <c r="J95" s="4"/>
    </row>
    <row r="96" ht="15.75" customHeight="1">
      <c r="A96" s="4"/>
      <c r="B96" s="4"/>
      <c r="C96" s="8"/>
      <c r="D96" s="8"/>
      <c r="E96" s="4"/>
      <c r="F96" s="4"/>
      <c r="G96" s="4"/>
      <c r="H96" s="5">
        <f>SUMIF(Itens_Pedido!B:B,A96,Itens_Pedido!H:H)</f>
        <v>0</v>
      </c>
      <c r="I96" s="5">
        <f t="shared" si="1"/>
        <v>0</v>
      </c>
      <c r="J96" s="4"/>
    </row>
    <row r="97" ht="15.75" customHeight="1">
      <c r="A97" s="4"/>
      <c r="B97" s="4"/>
      <c r="C97" s="8"/>
      <c r="D97" s="8"/>
      <c r="E97" s="4"/>
      <c r="F97" s="4"/>
      <c r="G97" s="4"/>
      <c r="H97" s="5">
        <f>SUMIF(Itens_Pedido!B:B,A97,Itens_Pedido!H:H)</f>
        <v>0</v>
      </c>
      <c r="I97" s="5">
        <f t="shared" si="1"/>
        <v>0</v>
      </c>
      <c r="J97" s="4"/>
    </row>
    <row r="98" ht="15.75" customHeight="1">
      <c r="A98" s="4"/>
      <c r="B98" s="4"/>
      <c r="C98" s="8"/>
      <c r="D98" s="8"/>
      <c r="E98" s="4"/>
      <c r="F98" s="4"/>
      <c r="G98" s="4"/>
      <c r="H98" s="5">
        <f>SUMIF(Itens_Pedido!B:B,A98,Itens_Pedido!H:H)</f>
        <v>0</v>
      </c>
      <c r="I98" s="5">
        <f t="shared" si="1"/>
        <v>0</v>
      </c>
      <c r="J98" s="4"/>
    </row>
    <row r="99" ht="15.75" customHeight="1">
      <c r="A99" s="4"/>
      <c r="B99" s="4"/>
      <c r="C99" s="8"/>
      <c r="D99" s="8"/>
      <c r="E99" s="4"/>
      <c r="F99" s="4"/>
      <c r="G99" s="4"/>
      <c r="H99" s="5">
        <f>SUMIF(Itens_Pedido!B:B,A99,Itens_Pedido!H:H)</f>
        <v>0</v>
      </c>
      <c r="I99" s="5">
        <f t="shared" si="1"/>
        <v>0</v>
      </c>
      <c r="J99" s="4"/>
    </row>
    <row r="100" ht="15.75" customHeight="1">
      <c r="A100" s="4"/>
      <c r="B100" s="4"/>
      <c r="C100" s="8"/>
      <c r="D100" s="8"/>
      <c r="E100" s="4"/>
      <c r="F100" s="4"/>
      <c r="G100" s="4"/>
      <c r="H100" s="5">
        <f>SUMIF(Itens_Pedido!B:B,A100,Itens_Pedido!H:H)</f>
        <v>0</v>
      </c>
      <c r="I100" s="5">
        <f t="shared" si="1"/>
        <v>0</v>
      </c>
      <c r="J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100">
      <formula1>"pendente,em produção,pronto,entregue,cancelado"</formula1>
    </dataValidation>
    <dataValidation type="list" allowBlank="1" sqref="G2:G100">
      <formula1>"pix,transferência,cartão,dinheiro"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14.0"/>
    <col customWidth="1" min="4" max="4" width="32.0"/>
    <col customWidth="1" min="5" max="6" width="14.0"/>
    <col customWidth="1" min="7" max="7" width="16.0"/>
    <col customWidth="1" min="8" max="8" width="14.0"/>
    <col customWidth="1" min="9" max="9" width="44.0"/>
    <col customWidth="1" min="10" max="26" width="8.63"/>
  </cols>
  <sheetData>
    <row r="1">
      <c r="A1" s="1" t="s">
        <v>459</v>
      </c>
      <c r="B1" s="1" t="s">
        <v>445</v>
      </c>
      <c r="C1" s="1" t="s">
        <v>0</v>
      </c>
      <c r="D1" s="1" t="s">
        <v>2</v>
      </c>
      <c r="E1" s="1" t="s">
        <v>460</v>
      </c>
      <c r="F1" s="1" t="s">
        <v>14</v>
      </c>
      <c r="G1" s="1" t="s">
        <v>461</v>
      </c>
      <c r="H1" s="1" t="s">
        <v>462</v>
      </c>
      <c r="I1" s="1" t="s">
        <v>9</v>
      </c>
    </row>
    <row r="2">
      <c r="A2" s="4" t="s">
        <v>463</v>
      </c>
      <c r="B2" s="4" t="s">
        <v>453</v>
      </c>
      <c r="C2" s="4" t="s">
        <v>10</v>
      </c>
      <c r="D2" s="4" t="s">
        <v>119</v>
      </c>
      <c r="E2" s="4">
        <v>12.0</v>
      </c>
      <c r="F2" s="4" t="s">
        <v>14</v>
      </c>
      <c r="G2" s="5">
        <v>4.0</v>
      </c>
      <c r="H2" s="5">
        <f>E2*G2</f>
        <v>48</v>
      </c>
      <c r="I2" s="4" t="s">
        <v>464</v>
      </c>
    </row>
    <row r="3">
      <c r="A3" s="7" t="s">
        <v>465</v>
      </c>
      <c r="B3" s="7" t="s">
        <v>453</v>
      </c>
      <c r="C3" s="7" t="s">
        <v>53</v>
      </c>
      <c r="D3" s="7" t="s">
        <v>466</v>
      </c>
      <c r="E3" s="7">
        <v>100.0</v>
      </c>
      <c r="F3" s="7" t="s">
        <v>31</v>
      </c>
      <c r="G3" s="5"/>
      <c r="H3" s="5"/>
      <c r="I3" s="4"/>
    </row>
    <row r="4">
      <c r="A4" s="4"/>
      <c r="B4" s="4"/>
      <c r="C4" s="4"/>
      <c r="D4" s="4"/>
      <c r="E4" s="4"/>
      <c r="F4" s="4"/>
      <c r="G4" s="5"/>
      <c r="H4" s="5"/>
      <c r="I4" s="4"/>
    </row>
    <row r="5">
      <c r="A5" s="4"/>
      <c r="B5" s="4"/>
      <c r="C5" s="4"/>
      <c r="D5" s="4"/>
      <c r="E5" s="4"/>
      <c r="F5" s="4"/>
      <c r="G5" s="5"/>
      <c r="H5" s="5"/>
      <c r="I5" s="4"/>
    </row>
    <row r="6">
      <c r="A6" s="4"/>
      <c r="B6" s="4"/>
      <c r="C6" s="4"/>
      <c r="D6" s="4"/>
      <c r="E6" s="4"/>
      <c r="F6" s="4"/>
      <c r="G6" s="5"/>
      <c r="H6" s="5"/>
      <c r="I6" s="4"/>
    </row>
    <row r="7">
      <c r="A7" s="4"/>
      <c r="B7" s="4"/>
      <c r="C7" s="4"/>
      <c r="D7" s="4"/>
      <c r="E7" s="4"/>
      <c r="F7" s="4"/>
      <c r="G7" s="5"/>
      <c r="H7" s="5"/>
      <c r="I7" s="4"/>
    </row>
    <row r="8">
      <c r="A8" s="4"/>
      <c r="B8" s="4"/>
      <c r="C8" s="4"/>
      <c r="D8" s="4"/>
      <c r="E8" s="4"/>
      <c r="F8" s="4"/>
      <c r="G8" s="5"/>
      <c r="H8" s="5"/>
      <c r="I8" s="4"/>
    </row>
    <row r="9">
      <c r="A9" s="4"/>
      <c r="B9" s="4"/>
      <c r="C9" s="4"/>
      <c r="D9" s="4"/>
      <c r="E9" s="4"/>
      <c r="F9" s="4"/>
      <c r="G9" s="5"/>
      <c r="H9" s="5"/>
      <c r="I9" s="4"/>
    </row>
    <row r="10">
      <c r="A10" s="4"/>
      <c r="B10" s="4"/>
      <c r="C10" s="4"/>
      <c r="D10" s="4"/>
      <c r="E10" s="4"/>
      <c r="F10" s="4"/>
      <c r="G10" s="5"/>
      <c r="H10" s="5"/>
      <c r="I10" s="4"/>
    </row>
    <row r="11">
      <c r="A11" s="4"/>
      <c r="B11" s="4"/>
      <c r="C11" s="4"/>
      <c r="D11" s="4"/>
      <c r="E11" s="4"/>
      <c r="F11" s="4"/>
      <c r="G11" s="5"/>
      <c r="H11" s="5"/>
      <c r="I11" s="4"/>
    </row>
    <row r="12">
      <c r="A12" s="4"/>
      <c r="B12" s="4"/>
      <c r="C12" s="4"/>
      <c r="D12" s="4"/>
      <c r="E12" s="4"/>
      <c r="F12" s="4"/>
      <c r="G12" s="5"/>
      <c r="H12" s="5"/>
      <c r="I12" s="4"/>
    </row>
    <row r="13">
      <c r="A13" s="4"/>
      <c r="B13" s="4"/>
      <c r="C13" s="4"/>
      <c r="D13" s="4"/>
      <c r="E13" s="4"/>
      <c r="F13" s="4"/>
      <c r="G13" s="5"/>
      <c r="H13" s="5"/>
      <c r="I13" s="4"/>
    </row>
    <row r="14">
      <c r="A14" s="4"/>
      <c r="B14" s="4"/>
      <c r="C14" s="4"/>
      <c r="D14" s="4"/>
      <c r="E14" s="4"/>
      <c r="F14" s="4"/>
      <c r="G14" s="5"/>
      <c r="H14" s="5"/>
      <c r="I14" s="4"/>
    </row>
    <row r="15">
      <c r="A15" s="4"/>
      <c r="B15" s="4"/>
      <c r="C15" s="4"/>
      <c r="D15" s="4"/>
      <c r="E15" s="4"/>
      <c r="F15" s="4"/>
      <c r="G15" s="5"/>
      <c r="H15" s="5"/>
      <c r="I15" s="4"/>
    </row>
    <row r="16">
      <c r="A16" s="4"/>
      <c r="B16" s="4"/>
      <c r="C16" s="4"/>
      <c r="D16" s="4"/>
      <c r="E16" s="4"/>
      <c r="F16" s="4"/>
      <c r="G16" s="5"/>
      <c r="H16" s="5"/>
      <c r="I16" s="4"/>
    </row>
    <row r="17">
      <c r="A17" s="4"/>
      <c r="B17" s="4"/>
      <c r="C17" s="4"/>
      <c r="D17" s="4"/>
      <c r="E17" s="4"/>
      <c r="F17" s="4"/>
      <c r="G17" s="5"/>
      <c r="H17" s="5"/>
      <c r="I17" s="4"/>
    </row>
    <row r="18">
      <c r="A18" s="4"/>
      <c r="B18" s="4"/>
      <c r="C18" s="4"/>
      <c r="D18" s="4"/>
      <c r="E18" s="4"/>
      <c r="F18" s="4"/>
      <c r="G18" s="5"/>
      <c r="H18" s="5"/>
      <c r="I18" s="4"/>
    </row>
    <row r="19">
      <c r="A19" s="4"/>
      <c r="B19" s="4"/>
      <c r="C19" s="4"/>
      <c r="D19" s="4"/>
      <c r="E19" s="4"/>
      <c r="F19" s="4"/>
      <c r="G19" s="5"/>
      <c r="H19" s="5"/>
      <c r="I19" s="4"/>
    </row>
    <row r="20">
      <c r="A20" s="4"/>
      <c r="B20" s="4"/>
      <c r="C20" s="4"/>
      <c r="D20" s="4"/>
      <c r="E20" s="4"/>
      <c r="F20" s="4"/>
      <c r="G20" s="5"/>
      <c r="H20" s="5"/>
      <c r="I20" s="4"/>
    </row>
    <row r="21" ht="15.75" customHeight="1">
      <c r="A21" s="4"/>
      <c r="B21" s="4"/>
      <c r="C21" s="4"/>
      <c r="D21" s="4"/>
      <c r="E21" s="4"/>
      <c r="F21" s="4"/>
      <c r="G21" s="5"/>
      <c r="H21" s="5"/>
      <c r="I21" s="4"/>
    </row>
    <row r="22" ht="15.75" customHeight="1">
      <c r="A22" s="4"/>
      <c r="B22" s="4"/>
      <c r="C22" s="4"/>
      <c r="D22" s="4"/>
      <c r="E22" s="4"/>
      <c r="F22" s="4"/>
      <c r="G22" s="5"/>
      <c r="H22" s="5"/>
      <c r="I22" s="4"/>
    </row>
    <row r="23" ht="15.75" customHeight="1">
      <c r="A23" s="4"/>
      <c r="B23" s="4"/>
      <c r="C23" s="4"/>
      <c r="D23" s="4"/>
      <c r="E23" s="4"/>
      <c r="F23" s="4"/>
      <c r="G23" s="5"/>
      <c r="H23" s="5"/>
      <c r="I23" s="4"/>
    </row>
    <row r="24" ht="15.75" customHeight="1">
      <c r="A24" s="4"/>
      <c r="B24" s="4"/>
      <c r="C24" s="4"/>
      <c r="D24" s="4"/>
      <c r="E24" s="4"/>
      <c r="F24" s="4"/>
      <c r="G24" s="5"/>
      <c r="H24" s="5"/>
      <c r="I24" s="4"/>
    </row>
    <row r="25" ht="15.75" customHeight="1">
      <c r="A25" s="4"/>
      <c r="B25" s="4"/>
      <c r="C25" s="4"/>
      <c r="D25" s="4"/>
      <c r="E25" s="4"/>
      <c r="F25" s="4"/>
      <c r="G25" s="5"/>
      <c r="H25" s="5"/>
      <c r="I25" s="4"/>
    </row>
    <row r="26" ht="15.75" customHeight="1">
      <c r="A26" s="4"/>
      <c r="B26" s="4"/>
      <c r="C26" s="4"/>
      <c r="D26" s="4"/>
      <c r="E26" s="4"/>
      <c r="F26" s="4"/>
      <c r="G26" s="5"/>
      <c r="H26" s="5"/>
      <c r="I26" s="4"/>
    </row>
    <row r="27" ht="15.75" customHeight="1">
      <c r="A27" s="4"/>
      <c r="B27" s="4"/>
      <c r="C27" s="4"/>
      <c r="D27" s="4"/>
      <c r="E27" s="4"/>
      <c r="F27" s="4"/>
      <c r="G27" s="5"/>
      <c r="H27" s="5"/>
      <c r="I27" s="4"/>
    </row>
    <row r="28" ht="15.75" customHeight="1">
      <c r="A28" s="4"/>
      <c r="B28" s="4"/>
      <c r="C28" s="4"/>
      <c r="D28" s="4"/>
      <c r="E28" s="4"/>
      <c r="F28" s="4"/>
      <c r="G28" s="5"/>
      <c r="H28" s="5"/>
      <c r="I28" s="4"/>
    </row>
    <row r="29" ht="15.75" customHeight="1">
      <c r="A29" s="4"/>
      <c r="B29" s="4"/>
      <c r="C29" s="4"/>
      <c r="D29" s="4"/>
      <c r="E29" s="4"/>
      <c r="F29" s="4"/>
      <c r="G29" s="5"/>
      <c r="H29" s="5"/>
      <c r="I29" s="4"/>
    </row>
    <row r="30" ht="15.75" customHeight="1">
      <c r="A30" s="4"/>
      <c r="B30" s="4"/>
      <c r="C30" s="4"/>
      <c r="D30" s="4"/>
      <c r="E30" s="4"/>
      <c r="F30" s="4"/>
      <c r="G30" s="5"/>
      <c r="H30" s="5"/>
      <c r="I30" s="4"/>
    </row>
    <row r="31" ht="15.75" customHeight="1">
      <c r="A31" s="4"/>
      <c r="B31" s="4"/>
      <c r="C31" s="4"/>
      <c r="D31" s="4"/>
      <c r="E31" s="4"/>
      <c r="F31" s="4"/>
      <c r="G31" s="5"/>
      <c r="H31" s="5"/>
      <c r="I31" s="4"/>
    </row>
    <row r="32" ht="15.75" customHeight="1">
      <c r="A32" s="4"/>
      <c r="B32" s="4"/>
      <c r="C32" s="4"/>
      <c r="D32" s="4"/>
      <c r="E32" s="4"/>
      <c r="F32" s="4"/>
      <c r="G32" s="5"/>
      <c r="H32" s="5"/>
      <c r="I32" s="4"/>
    </row>
    <row r="33" ht="15.75" customHeight="1">
      <c r="A33" s="4"/>
      <c r="B33" s="4"/>
      <c r="C33" s="4"/>
      <c r="D33" s="4"/>
      <c r="E33" s="4"/>
      <c r="F33" s="4"/>
      <c r="G33" s="5"/>
      <c r="H33" s="5"/>
      <c r="I33" s="4"/>
    </row>
    <row r="34" ht="15.75" customHeight="1">
      <c r="A34" s="4"/>
      <c r="B34" s="4"/>
      <c r="C34" s="4"/>
      <c r="D34" s="4"/>
      <c r="E34" s="4"/>
      <c r="F34" s="4"/>
      <c r="G34" s="5"/>
      <c r="H34" s="5"/>
      <c r="I34" s="4"/>
    </row>
    <row r="35" ht="15.75" customHeight="1">
      <c r="A35" s="4"/>
      <c r="B35" s="4"/>
      <c r="C35" s="4"/>
      <c r="D35" s="4"/>
      <c r="E35" s="4"/>
      <c r="F35" s="4"/>
      <c r="G35" s="5"/>
      <c r="H35" s="5"/>
      <c r="I35" s="4"/>
    </row>
    <row r="36" ht="15.75" customHeight="1">
      <c r="A36" s="4"/>
      <c r="B36" s="4"/>
      <c r="C36" s="4"/>
      <c r="D36" s="4"/>
      <c r="E36" s="4"/>
      <c r="F36" s="4"/>
      <c r="G36" s="5"/>
      <c r="H36" s="5"/>
      <c r="I36" s="4"/>
    </row>
    <row r="37" ht="15.75" customHeight="1">
      <c r="A37" s="4"/>
      <c r="B37" s="4"/>
      <c r="C37" s="4"/>
      <c r="D37" s="4"/>
      <c r="E37" s="4"/>
      <c r="F37" s="4"/>
      <c r="G37" s="5"/>
      <c r="H37" s="5"/>
      <c r="I37" s="4"/>
    </row>
    <row r="38" ht="15.75" customHeight="1">
      <c r="A38" s="4"/>
      <c r="B38" s="4"/>
      <c r="C38" s="4"/>
      <c r="D38" s="4"/>
      <c r="E38" s="4"/>
      <c r="F38" s="4"/>
      <c r="G38" s="5"/>
      <c r="H38" s="5"/>
      <c r="I38" s="4"/>
    </row>
    <row r="39" ht="15.75" customHeight="1">
      <c r="A39" s="4"/>
      <c r="B39" s="4"/>
      <c r="C39" s="4"/>
      <c r="D39" s="4"/>
      <c r="E39" s="4"/>
      <c r="F39" s="4"/>
      <c r="G39" s="5"/>
      <c r="H39" s="5"/>
      <c r="I39" s="4"/>
    </row>
    <row r="40" ht="15.75" customHeight="1">
      <c r="A40" s="4"/>
      <c r="B40" s="4"/>
      <c r="C40" s="4"/>
      <c r="D40" s="4"/>
      <c r="E40" s="4"/>
      <c r="F40" s="4"/>
      <c r="G40" s="5"/>
      <c r="H40" s="5"/>
      <c r="I40" s="4"/>
    </row>
    <row r="41" ht="15.75" customHeight="1">
      <c r="A41" s="4"/>
      <c r="B41" s="4"/>
      <c r="C41" s="4"/>
      <c r="D41" s="4"/>
      <c r="E41" s="4"/>
      <c r="F41" s="4"/>
      <c r="G41" s="5"/>
      <c r="H41" s="5"/>
      <c r="I41" s="4"/>
    </row>
    <row r="42" ht="15.75" customHeight="1">
      <c r="A42" s="4"/>
      <c r="B42" s="4"/>
      <c r="C42" s="4"/>
      <c r="D42" s="4"/>
      <c r="E42" s="4"/>
      <c r="F42" s="4"/>
      <c r="G42" s="5"/>
      <c r="H42" s="5"/>
      <c r="I42" s="4"/>
    </row>
    <row r="43" ht="15.75" customHeight="1">
      <c r="A43" s="4"/>
      <c r="B43" s="4"/>
      <c r="C43" s="4"/>
      <c r="D43" s="4"/>
      <c r="E43" s="4"/>
      <c r="F43" s="4"/>
      <c r="G43" s="5"/>
      <c r="H43" s="5"/>
      <c r="I43" s="4"/>
    </row>
    <row r="44" ht="15.75" customHeight="1">
      <c r="A44" s="4"/>
      <c r="B44" s="4"/>
      <c r="C44" s="4"/>
      <c r="D44" s="4"/>
      <c r="E44" s="4"/>
      <c r="F44" s="4"/>
      <c r="G44" s="5"/>
      <c r="H44" s="5"/>
      <c r="I44" s="4"/>
    </row>
    <row r="45" ht="15.75" customHeight="1">
      <c r="A45" s="4"/>
      <c r="B45" s="4"/>
      <c r="C45" s="4"/>
      <c r="D45" s="4"/>
      <c r="E45" s="4"/>
      <c r="F45" s="4"/>
      <c r="G45" s="5"/>
      <c r="H45" s="5"/>
      <c r="I45" s="4"/>
    </row>
    <row r="46" ht="15.75" customHeight="1">
      <c r="A46" s="4"/>
      <c r="B46" s="4"/>
      <c r="C46" s="4"/>
      <c r="D46" s="4"/>
      <c r="E46" s="4"/>
      <c r="F46" s="4"/>
      <c r="G46" s="5"/>
      <c r="H46" s="5"/>
      <c r="I46" s="4"/>
    </row>
    <row r="47" ht="15.75" customHeight="1">
      <c r="A47" s="4"/>
      <c r="B47" s="4"/>
      <c r="C47" s="4"/>
      <c r="D47" s="4"/>
      <c r="E47" s="4"/>
      <c r="F47" s="4"/>
      <c r="G47" s="5"/>
      <c r="H47" s="5"/>
      <c r="I47" s="4"/>
    </row>
    <row r="48" ht="15.75" customHeight="1">
      <c r="A48" s="4"/>
      <c r="B48" s="4"/>
      <c r="C48" s="4"/>
      <c r="D48" s="4"/>
      <c r="E48" s="4"/>
      <c r="F48" s="4"/>
      <c r="G48" s="5"/>
      <c r="H48" s="5"/>
      <c r="I48" s="4"/>
    </row>
    <row r="49" ht="15.75" customHeight="1">
      <c r="A49" s="4"/>
      <c r="B49" s="4"/>
      <c r="C49" s="4"/>
      <c r="D49" s="4"/>
      <c r="E49" s="4"/>
      <c r="F49" s="4"/>
      <c r="G49" s="5"/>
      <c r="H49" s="5"/>
      <c r="I49" s="4"/>
    </row>
    <row r="50" ht="15.75" customHeight="1">
      <c r="A50" s="4"/>
      <c r="B50" s="4"/>
      <c r="C50" s="4"/>
      <c r="D50" s="4"/>
      <c r="E50" s="4"/>
      <c r="F50" s="4"/>
      <c r="G50" s="5"/>
      <c r="H50" s="5"/>
      <c r="I50" s="4"/>
    </row>
    <row r="51" ht="15.75" customHeight="1">
      <c r="A51" s="4"/>
      <c r="B51" s="4"/>
      <c r="C51" s="4"/>
      <c r="D51" s="4"/>
      <c r="E51" s="4"/>
      <c r="F51" s="4"/>
      <c r="G51" s="5"/>
      <c r="H51" s="5"/>
      <c r="I51" s="4"/>
    </row>
    <row r="52" ht="15.75" customHeight="1">
      <c r="A52" s="4"/>
      <c r="B52" s="4"/>
      <c r="C52" s="4"/>
      <c r="D52" s="4"/>
      <c r="E52" s="4"/>
      <c r="F52" s="4"/>
      <c r="G52" s="5"/>
      <c r="H52" s="5"/>
      <c r="I52" s="4"/>
    </row>
    <row r="53" ht="15.75" customHeight="1">
      <c r="A53" s="4"/>
      <c r="B53" s="4"/>
      <c r="C53" s="4"/>
      <c r="D53" s="4"/>
      <c r="E53" s="4"/>
      <c r="F53" s="4"/>
      <c r="G53" s="5"/>
      <c r="H53" s="5"/>
      <c r="I53" s="4"/>
    </row>
    <row r="54" ht="15.75" customHeight="1">
      <c r="A54" s="4"/>
      <c r="B54" s="4"/>
      <c r="C54" s="4"/>
      <c r="D54" s="4"/>
      <c r="E54" s="4"/>
      <c r="F54" s="4"/>
      <c r="G54" s="5"/>
      <c r="H54" s="5"/>
      <c r="I54" s="4"/>
    </row>
    <row r="55" ht="15.75" customHeight="1">
      <c r="A55" s="4"/>
      <c r="B55" s="4"/>
      <c r="C55" s="4"/>
      <c r="D55" s="4"/>
      <c r="E55" s="4"/>
      <c r="F55" s="4"/>
      <c r="G55" s="5"/>
      <c r="H55" s="5"/>
      <c r="I55" s="4"/>
    </row>
    <row r="56" ht="15.75" customHeight="1">
      <c r="A56" s="4"/>
      <c r="B56" s="4"/>
      <c r="C56" s="4"/>
      <c r="D56" s="4"/>
      <c r="E56" s="4"/>
      <c r="F56" s="4"/>
      <c r="G56" s="5"/>
      <c r="H56" s="5"/>
      <c r="I56" s="4"/>
    </row>
    <row r="57" ht="15.75" customHeight="1">
      <c r="A57" s="4"/>
      <c r="B57" s="4"/>
      <c r="C57" s="4"/>
      <c r="D57" s="4"/>
      <c r="E57" s="4"/>
      <c r="F57" s="4"/>
      <c r="G57" s="5"/>
      <c r="H57" s="5"/>
      <c r="I57" s="4"/>
    </row>
    <row r="58" ht="15.75" customHeight="1">
      <c r="A58" s="4"/>
      <c r="B58" s="4"/>
      <c r="C58" s="4"/>
      <c r="D58" s="4"/>
      <c r="E58" s="4"/>
      <c r="F58" s="4"/>
      <c r="G58" s="5"/>
      <c r="H58" s="5"/>
      <c r="I58" s="4"/>
    </row>
    <row r="59" ht="15.75" customHeight="1">
      <c r="A59" s="4"/>
      <c r="B59" s="4"/>
      <c r="C59" s="4"/>
      <c r="D59" s="4"/>
      <c r="E59" s="4"/>
      <c r="F59" s="4"/>
      <c r="G59" s="5"/>
      <c r="H59" s="5"/>
      <c r="I59" s="4"/>
    </row>
    <row r="60" ht="15.75" customHeight="1">
      <c r="A60" s="4"/>
      <c r="B60" s="4"/>
      <c r="C60" s="4"/>
      <c r="D60" s="4"/>
      <c r="E60" s="4"/>
      <c r="F60" s="4"/>
      <c r="G60" s="5"/>
      <c r="H60" s="5"/>
      <c r="I60" s="4"/>
    </row>
    <row r="61" ht="15.75" customHeight="1">
      <c r="A61" s="4"/>
      <c r="B61" s="4"/>
      <c r="C61" s="4"/>
      <c r="D61" s="4"/>
      <c r="E61" s="4"/>
      <c r="F61" s="4"/>
      <c r="G61" s="5"/>
      <c r="H61" s="5"/>
      <c r="I61" s="4"/>
    </row>
    <row r="62" ht="15.75" customHeight="1">
      <c r="A62" s="4"/>
      <c r="B62" s="4"/>
      <c r="C62" s="4"/>
      <c r="D62" s="4"/>
      <c r="E62" s="4"/>
      <c r="F62" s="4"/>
      <c r="G62" s="5"/>
      <c r="H62" s="5"/>
      <c r="I62" s="4"/>
    </row>
    <row r="63" ht="15.75" customHeight="1">
      <c r="A63" s="4"/>
      <c r="B63" s="4"/>
      <c r="C63" s="4"/>
      <c r="D63" s="4"/>
      <c r="E63" s="4"/>
      <c r="F63" s="4"/>
      <c r="G63" s="5"/>
      <c r="H63" s="5"/>
      <c r="I63" s="4"/>
    </row>
    <row r="64" ht="15.75" customHeight="1">
      <c r="A64" s="4"/>
      <c r="B64" s="4"/>
      <c r="C64" s="4"/>
      <c r="D64" s="4"/>
      <c r="E64" s="4"/>
      <c r="F64" s="4"/>
      <c r="G64" s="5"/>
      <c r="H64" s="5"/>
      <c r="I64" s="4"/>
    </row>
    <row r="65" ht="15.75" customHeight="1">
      <c r="A65" s="4"/>
      <c r="B65" s="4"/>
      <c r="C65" s="4"/>
      <c r="D65" s="4"/>
      <c r="E65" s="4"/>
      <c r="F65" s="4"/>
      <c r="G65" s="5"/>
      <c r="H65" s="5"/>
      <c r="I65" s="4"/>
    </row>
    <row r="66" ht="15.75" customHeight="1">
      <c r="A66" s="4"/>
      <c r="B66" s="4"/>
      <c r="C66" s="4"/>
      <c r="D66" s="4"/>
      <c r="E66" s="4"/>
      <c r="F66" s="4"/>
      <c r="G66" s="5"/>
      <c r="H66" s="5"/>
      <c r="I66" s="4"/>
    </row>
    <row r="67" ht="15.75" customHeight="1">
      <c r="A67" s="4"/>
      <c r="B67" s="4"/>
      <c r="C67" s="4"/>
      <c r="D67" s="4"/>
      <c r="E67" s="4"/>
      <c r="F67" s="4"/>
      <c r="G67" s="5"/>
      <c r="H67" s="5"/>
      <c r="I67" s="4"/>
    </row>
    <row r="68" ht="15.75" customHeight="1">
      <c r="A68" s="4"/>
      <c r="B68" s="4"/>
      <c r="C68" s="4"/>
      <c r="D68" s="4"/>
      <c r="E68" s="4"/>
      <c r="F68" s="4"/>
      <c r="G68" s="5"/>
      <c r="H68" s="5"/>
      <c r="I68" s="4"/>
    </row>
    <row r="69" ht="15.75" customHeight="1">
      <c r="A69" s="4"/>
      <c r="B69" s="4"/>
      <c r="C69" s="4"/>
      <c r="D69" s="4"/>
      <c r="E69" s="4"/>
      <c r="F69" s="4"/>
      <c r="G69" s="5"/>
      <c r="H69" s="5"/>
      <c r="I69" s="4"/>
    </row>
    <row r="70" ht="15.75" customHeight="1">
      <c r="A70" s="4"/>
      <c r="B70" s="4"/>
      <c r="C70" s="4"/>
      <c r="D70" s="4"/>
      <c r="E70" s="4"/>
      <c r="F70" s="4"/>
      <c r="G70" s="5"/>
      <c r="H70" s="5"/>
      <c r="I70" s="4"/>
    </row>
    <row r="71" ht="15.75" customHeight="1">
      <c r="A71" s="4"/>
      <c r="B71" s="4"/>
      <c r="C71" s="4"/>
      <c r="D71" s="4"/>
      <c r="E71" s="4"/>
      <c r="F71" s="4"/>
      <c r="G71" s="5"/>
      <c r="H71" s="5"/>
      <c r="I71" s="4"/>
    </row>
    <row r="72" ht="15.75" customHeight="1">
      <c r="A72" s="4"/>
      <c r="B72" s="4"/>
      <c r="C72" s="4"/>
      <c r="D72" s="4"/>
      <c r="E72" s="4"/>
      <c r="F72" s="4"/>
      <c r="G72" s="5"/>
      <c r="H72" s="5"/>
      <c r="I72" s="4"/>
    </row>
    <row r="73" ht="15.75" customHeight="1">
      <c r="A73" s="4"/>
      <c r="B73" s="4"/>
      <c r="C73" s="4"/>
      <c r="D73" s="4"/>
      <c r="E73" s="4"/>
      <c r="F73" s="4"/>
      <c r="G73" s="5"/>
      <c r="H73" s="5"/>
      <c r="I73" s="4"/>
    </row>
    <row r="74" ht="15.75" customHeight="1">
      <c r="A74" s="4"/>
      <c r="B74" s="4"/>
      <c r="C74" s="4"/>
      <c r="D74" s="4"/>
      <c r="E74" s="4"/>
      <c r="F74" s="4"/>
      <c r="G74" s="5"/>
      <c r="H74" s="5"/>
      <c r="I74" s="4"/>
    </row>
    <row r="75" ht="15.75" customHeight="1">
      <c r="A75" s="4"/>
      <c r="B75" s="4"/>
      <c r="C75" s="4"/>
      <c r="D75" s="4"/>
      <c r="E75" s="4"/>
      <c r="F75" s="4"/>
      <c r="G75" s="5"/>
      <c r="H75" s="5"/>
      <c r="I75" s="4"/>
    </row>
    <row r="76" ht="15.75" customHeight="1">
      <c r="A76" s="4"/>
      <c r="B76" s="4"/>
      <c r="C76" s="4"/>
      <c r="D76" s="4"/>
      <c r="E76" s="4"/>
      <c r="F76" s="4"/>
      <c r="G76" s="5"/>
      <c r="H76" s="5"/>
      <c r="I76" s="4"/>
    </row>
    <row r="77" ht="15.75" customHeight="1">
      <c r="A77" s="4"/>
      <c r="B77" s="4"/>
      <c r="C77" s="4"/>
      <c r="D77" s="4"/>
      <c r="E77" s="4"/>
      <c r="F77" s="4"/>
      <c r="G77" s="5"/>
      <c r="H77" s="5"/>
      <c r="I77" s="4"/>
    </row>
    <row r="78" ht="15.75" customHeight="1">
      <c r="A78" s="4"/>
      <c r="B78" s="4"/>
      <c r="C78" s="4"/>
      <c r="D78" s="4"/>
      <c r="E78" s="4"/>
      <c r="F78" s="4"/>
      <c r="G78" s="5"/>
      <c r="H78" s="5"/>
      <c r="I78" s="4"/>
    </row>
    <row r="79" ht="15.75" customHeight="1">
      <c r="A79" s="4"/>
      <c r="B79" s="4"/>
      <c r="C79" s="4"/>
      <c r="D79" s="4"/>
      <c r="E79" s="4"/>
      <c r="F79" s="4"/>
      <c r="G79" s="5"/>
      <c r="H79" s="5"/>
      <c r="I79" s="4"/>
    </row>
    <row r="80" ht="15.75" customHeight="1">
      <c r="A80" s="4"/>
      <c r="B80" s="4"/>
      <c r="C80" s="4"/>
      <c r="D80" s="4"/>
      <c r="E80" s="4"/>
      <c r="F80" s="4"/>
      <c r="G80" s="5"/>
      <c r="H80" s="5"/>
      <c r="I80" s="4"/>
    </row>
    <row r="81" ht="15.75" customHeight="1">
      <c r="A81" s="4"/>
      <c r="B81" s="4"/>
      <c r="C81" s="4"/>
      <c r="D81" s="4"/>
      <c r="E81" s="4"/>
      <c r="F81" s="4"/>
      <c r="G81" s="5"/>
      <c r="H81" s="5"/>
      <c r="I81" s="4"/>
    </row>
    <row r="82" ht="15.75" customHeight="1">
      <c r="A82" s="4"/>
      <c r="B82" s="4"/>
      <c r="C82" s="4"/>
      <c r="D82" s="4"/>
      <c r="E82" s="4"/>
      <c r="F82" s="4"/>
      <c r="G82" s="5"/>
      <c r="H82" s="5"/>
      <c r="I82" s="4"/>
    </row>
    <row r="83" ht="15.75" customHeight="1">
      <c r="A83" s="4"/>
      <c r="B83" s="4"/>
      <c r="C83" s="4"/>
      <c r="D83" s="4"/>
      <c r="E83" s="4"/>
      <c r="F83" s="4"/>
      <c r="G83" s="5"/>
      <c r="H83" s="5"/>
      <c r="I83" s="4"/>
    </row>
    <row r="84" ht="15.75" customHeight="1">
      <c r="A84" s="4"/>
      <c r="B84" s="4"/>
      <c r="C84" s="4"/>
      <c r="D84" s="4"/>
      <c r="E84" s="4"/>
      <c r="F84" s="4"/>
      <c r="G84" s="5"/>
      <c r="H84" s="5"/>
      <c r="I84" s="4"/>
    </row>
    <row r="85" ht="15.75" customHeight="1">
      <c r="A85" s="4"/>
      <c r="B85" s="4"/>
      <c r="C85" s="4"/>
      <c r="D85" s="4"/>
      <c r="E85" s="4"/>
      <c r="F85" s="4"/>
      <c r="G85" s="5"/>
      <c r="H85" s="5"/>
      <c r="I85" s="4"/>
    </row>
    <row r="86" ht="15.75" customHeight="1">
      <c r="A86" s="4"/>
      <c r="B86" s="4"/>
      <c r="C86" s="4"/>
      <c r="D86" s="4"/>
      <c r="E86" s="4"/>
      <c r="F86" s="4"/>
      <c r="G86" s="5"/>
      <c r="H86" s="5"/>
      <c r="I86" s="4"/>
    </row>
    <row r="87" ht="15.75" customHeight="1">
      <c r="A87" s="4"/>
      <c r="B87" s="4"/>
      <c r="C87" s="4"/>
      <c r="D87" s="4"/>
      <c r="E87" s="4"/>
      <c r="F87" s="4"/>
      <c r="G87" s="5"/>
      <c r="H87" s="5"/>
      <c r="I87" s="4"/>
    </row>
    <row r="88" ht="15.75" customHeight="1">
      <c r="A88" s="4"/>
      <c r="B88" s="4"/>
      <c r="C88" s="4"/>
      <c r="D88" s="4"/>
      <c r="E88" s="4"/>
      <c r="F88" s="4"/>
      <c r="G88" s="5"/>
      <c r="H88" s="5"/>
      <c r="I88" s="4"/>
    </row>
    <row r="89" ht="15.75" customHeight="1">
      <c r="A89" s="4"/>
      <c r="B89" s="4"/>
      <c r="C89" s="4"/>
      <c r="D89" s="4"/>
      <c r="E89" s="4"/>
      <c r="F89" s="4"/>
      <c r="G89" s="5"/>
      <c r="H89" s="5"/>
      <c r="I89" s="4"/>
    </row>
    <row r="90" ht="15.75" customHeight="1">
      <c r="A90" s="4"/>
      <c r="B90" s="4"/>
      <c r="C90" s="4"/>
      <c r="D90" s="4"/>
      <c r="E90" s="4"/>
      <c r="F90" s="4"/>
      <c r="G90" s="5"/>
      <c r="H90" s="5"/>
      <c r="I90" s="4"/>
    </row>
    <row r="91" ht="15.75" customHeight="1">
      <c r="A91" s="4"/>
      <c r="B91" s="4"/>
      <c r="C91" s="4"/>
      <c r="D91" s="4"/>
      <c r="E91" s="4"/>
      <c r="F91" s="4"/>
      <c r="G91" s="5"/>
      <c r="H91" s="5"/>
      <c r="I91" s="4"/>
    </row>
    <row r="92" ht="15.75" customHeight="1">
      <c r="A92" s="4"/>
      <c r="B92" s="4"/>
      <c r="C92" s="4"/>
      <c r="D92" s="4"/>
      <c r="E92" s="4"/>
      <c r="F92" s="4"/>
      <c r="G92" s="5"/>
      <c r="H92" s="5"/>
      <c r="I92" s="4"/>
    </row>
    <row r="93" ht="15.75" customHeight="1">
      <c r="A93" s="4"/>
      <c r="B93" s="4"/>
      <c r="C93" s="4"/>
      <c r="D93" s="4"/>
      <c r="E93" s="4"/>
      <c r="F93" s="4"/>
      <c r="G93" s="5"/>
      <c r="H93" s="5"/>
      <c r="I93" s="4"/>
    </row>
    <row r="94" ht="15.75" customHeight="1">
      <c r="A94" s="4"/>
      <c r="B94" s="4"/>
      <c r="C94" s="4"/>
      <c r="D94" s="4"/>
      <c r="E94" s="4"/>
      <c r="F94" s="4"/>
      <c r="G94" s="5"/>
      <c r="H94" s="5"/>
      <c r="I94" s="4"/>
    </row>
    <row r="95" ht="15.75" customHeight="1">
      <c r="A95" s="4"/>
      <c r="B95" s="4"/>
      <c r="C95" s="4"/>
      <c r="D95" s="4"/>
      <c r="E95" s="4"/>
      <c r="F95" s="4"/>
      <c r="G95" s="5"/>
      <c r="H95" s="5"/>
      <c r="I95" s="4"/>
    </row>
    <row r="96" ht="15.75" customHeight="1">
      <c r="A96" s="4"/>
      <c r="B96" s="4"/>
      <c r="C96" s="4"/>
      <c r="D96" s="4"/>
      <c r="E96" s="4"/>
      <c r="F96" s="4"/>
      <c r="G96" s="5"/>
      <c r="H96" s="5"/>
      <c r="I96" s="4"/>
    </row>
    <row r="97" ht="15.75" customHeight="1">
      <c r="A97" s="4"/>
      <c r="B97" s="4"/>
      <c r="C97" s="4"/>
      <c r="D97" s="4"/>
      <c r="E97" s="4"/>
      <c r="F97" s="4"/>
      <c r="G97" s="5"/>
      <c r="H97" s="5"/>
      <c r="I97" s="4"/>
    </row>
    <row r="98" ht="15.75" customHeight="1">
      <c r="A98" s="4"/>
      <c r="B98" s="4"/>
      <c r="C98" s="4"/>
      <c r="D98" s="4"/>
      <c r="E98" s="4"/>
      <c r="F98" s="4"/>
      <c r="G98" s="5"/>
      <c r="H98" s="5"/>
      <c r="I98" s="4"/>
    </row>
    <row r="99" ht="15.75" customHeight="1">
      <c r="A99" s="4"/>
      <c r="B99" s="4"/>
      <c r="C99" s="4"/>
      <c r="D99" s="4"/>
      <c r="E99" s="4"/>
      <c r="F99" s="4"/>
      <c r="G99" s="5"/>
      <c r="H99" s="5"/>
      <c r="I99" s="4"/>
    </row>
    <row r="100" ht="15.75" customHeight="1">
      <c r="A100" s="4"/>
      <c r="B100" s="4"/>
      <c r="C100" s="4"/>
      <c r="D100" s="4"/>
      <c r="E100" s="4"/>
      <c r="F100" s="4"/>
      <c r="G100" s="5"/>
      <c r="H100" s="5"/>
      <c r="I100" s="4"/>
    </row>
    <row r="101" ht="15.75" customHeight="1">
      <c r="A101" s="4"/>
      <c r="B101" s="4"/>
      <c r="C101" s="4"/>
      <c r="D101" s="4"/>
      <c r="E101" s="4"/>
      <c r="F101" s="4"/>
      <c r="G101" s="5"/>
      <c r="H101" s="5"/>
      <c r="I101" s="4"/>
    </row>
    <row r="102" ht="15.75" customHeight="1">
      <c r="A102" s="4"/>
      <c r="B102" s="4"/>
      <c r="C102" s="4"/>
      <c r="D102" s="4"/>
      <c r="E102" s="4"/>
      <c r="F102" s="4"/>
      <c r="G102" s="5"/>
      <c r="H102" s="5"/>
      <c r="I102" s="4"/>
    </row>
    <row r="103" ht="15.75" customHeight="1">
      <c r="A103" s="4"/>
      <c r="B103" s="4"/>
      <c r="C103" s="4"/>
      <c r="D103" s="4"/>
      <c r="E103" s="4"/>
      <c r="F103" s="4"/>
      <c r="G103" s="5"/>
      <c r="H103" s="5"/>
      <c r="I103" s="4"/>
    </row>
    <row r="104" ht="15.75" customHeight="1">
      <c r="A104" s="4"/>
      <c r="B104" s="4"/>
      <c r="C104" s="4"/>
      <c r="D104" s="4"/>
      <c r="E104" s="4"/>
      <c r="F104" s="4"/>
      <c r="G104" s="5"/>
      <c r="H104" s="5"/>
      <c r="I104" s="4"/>
    </row>
    <row r="105" ht="15.75" customHeight="1">
      <c r="A105" s="4"/>
      <c r="B105" s="4"/>
      <c r="C105" s="4"/>
      <c r="D105" s="4"/>
      <c r="E105" s="4"/>
      <c r="F105" s="4"/>
      <c r="G105" s="5"/>
      <c r="H105" s="5"/>
      <c r="I105" s="4"/>
    </row>
    <row r="106" ht="15.75" customHeight="1">
      <c r="A106" s="4"/>
      <c r="B106" s="4"/>
      <c r="C106" s="4"/>
      <c r="D106" s="4"/>
      <c r="E106" s="4"/>
      <c r="F106" s="4"/>
      <c r="G106" s="5"/>
      <c r="H106" s="5"/>
      <c r="I106" s="4"/>
    </row>
    <row r="107" ht="15.75" customHeight="1">
      <c r="A107" s="4"/>
      <c r="B107" s="4"/>
      <c r="C107" s="4"/>
      <c r="D107" s="4"/>
      <c r="E107" s="4"/>
      <c r="F107" s="4"/>
      <c r="G107" s="5"/>
      <c r="H107" s="5"/>
      <c r="I107" s="4"/>
    </row>
    <row r="108" ht="15.75" customHeight="1">
      <c r="A108" s="4"/>
      <c r="B108" s="4"/>
      <c r="C108" s="4"/>
      <c r="D108" s="4"/>
      <c r="E108" s="4"/>
      <c r="F108" s="4"/>
      <c r="G108" s="5"/>
      <c r="H108" s="5"/>
      <c r="I108" s="4"/>
    </row>
    <row r="109" ht="15.75" customHeight="1">
      <c r="A109" s="4"/>
      <c r="B109" s="4"/>
      <c r="C109" s="4"/>
      <c r="D109" s="4"/>
      <c r="E109" s="4"/>
      <c r="F109" s="4"/>
      <c r="G109" s="5"/>
      <c r="H109" s="5"/>
      <c r="I109" s="4"/>
    </row>
    <row r="110" ht="15.75" customHeight="1">
      <c r="A110" s="4"/>
      <c r="B110" s="4"/>
      <c r="C110" s="4"/>
      <c r="D110" s="4"/>
      <c r="E110" s="4"/>
      <c r="F110" s="4"/>
      <c r="G110" s="5"/>
      <c r="H110" s="5"/>
      <c r="I110" s="4"/>
    </row>
    <row r="111" ht="15.75" customHeight="1">
      <c r="A111" s="4"/>
      <c r="B111" s="4"/>
      <c r="C111" s="4"/>
      <c r="D111" s="4"/>
      <c r="E111" s="4"/>
      <c r="F111" s="4"/>
      <c r="G111" s="5"/>
      <c r="H111" s="5"/>
      <c r="I111" s="4"/>
    </row>
    <row r="112" ht="15.75" customHeight="1">
      <c r="A112" s="4"/>
      <c r="B112" s="4"/>
      <c r="C112" s="4"/>
      <c r="D112" s="4"/>
      <c r="E112" s="4"/>
      <c r="F112" s="4"/>
      <c r="G112" s="5"/>
      <c r="H112" s="5"/>
      <c r="I112" s="4"/>
    </row>
    <row r="113" ht="15.75" customHeight="1">
      <c r="A113" s="4"/>
      <c r="B113" s="4"/>
      <c r="C113" s="4"/>
      <c r="D113" s="4"/>
      <c r="E113" s="4"/>
      <c r="F113" s="4"/>
      <c r="G113" s="5"/>
      <c r="H113" s="5"/>
      <c r="I113" s="4"/>
    </row>
    <row r="114" ht="15.75" customHeight="1">
      <c r="A114" s="4"/>
      <c r="B114" s="4"/>
      <c r="C114" s="4"/>
      <c r="D114" s="4"/>
      <c r="E114" s="4"/>
      <c r="F114" s="4"/>
      <c r="G114" s="5"/>
      <c r="H114" s="5"/>
      <c r="I114" s="4"/>
    </row>
    <row r="115" ht="15.75" customHeight="1">
      <c r="A115" s="4"/>
      <c r="B115" s="4"/>
      <c r="C115" s="4"/>
      <c r="D115" s="4"/>
      <c r="E115" s="4"/>
      <c r="F115" s="4"/>
      <c r="G115" s="5"/>
      <c r="H115" s="5"/>
      <c r="I115" s="4"/>
    </row>
    <row r="116" ht="15.75" customHeight="1">
      <c r="A116" s="4"/>
      <c r="B116" s="4"/>
      <c r="C116" s="4"/>
      <c r="D116" s="4"/>
      <c r="E116" s="4"/>
      <c r="F116" s="4"/>
      <c r="G116" s="5"/>
      <c r="H116" s="5"/>
      <c r="I116" s="4"/>
    </row>
    <row r="117" ht="15.75" customHeight="1">
      <c r="A117" s="4"/>
      <c r="B117" s="4"/>
      <c r="C117" s="4"/>
      <c r="D117" s="4"/>
      <c r="E117" s="4"/>
      <c r="F117" s="4"/>
      <c r="G117" s="5"/>
      <c r="H117" s="5"/>
      <c r="I117" s="4"/>
    </row>
    <row r="118" ht="15.75" customHeight="1">
      <c r="A118" s="4"/>
      <c r="B118" s="4"/>
      <c r="C118" s="4"/>
      <c r="D118" s="4"/>
      <c r="E118" s="4"/>
      <c r="F118" s="4"/>
      <c r="G118" s="5"/>
      <c r="H118" s="5"/>
      <c r="I118" s="4"/>
    </row>
    <row r="119" ht="15.75" customHeight="1">
      <c r="A119" s="4"/>
      <c r="B119" s="4"/>
      <c r="C119" s="4"/>
      <c r="D119" s="4"/>
      <c r="E119" s="4"/>
      <c r="F119" s="4"/>
      <c r="G119" s="5"/>
      <c r="H119" s="5"/>
      <c r="I119" s="4"/>
    </row>
    <row r="120" ht="15.75" customHeight="1">
      <c r="A120" s="4"/>
      <c r="B120" s="4"/>
      <c r="C120" s="4"/>
      <c r="D120" s="4"/>
      <c r="E120" s="4"/>
      <c r="F120" s="4"/>
      <c r="G120" s="5"/>
      <c r="H120" s="5"/>
      <c r="I120" s="4"/>
    </row>
    <row r="121" ht="15.75" customHeight="1">
      <c r="A121" s="4"/>
      <c r="B121" s="4"/>
      <c r="C121" s="4"/>
      <c r="D121" s="4"/>
      <c r="E121" s="4"/>
      <c r="F121" s="4"/>
      <c r="G121" s="5"/>
      <c r="H121" s="5"/>
      <c r="I121" s="4"/>
    </row>
    <row r="122" ht="15.75" customHeight="1">
      <c r="A122" s="4"/>
      <c r="B122" s="4"/>
      <c r="C122" s="4"/>
      <c r="D122" s="4"/>
      <c r="E122" s="4"/>
      <c r="F122" s="4"/>
      <c r="G122" s="5"/>
      <c r="H122" s="5"/>
      <c r="I122" s="4"/>
    </row>
    <row r="123" ht="15.75" customHeight="1">
      <c r="A123" s="4"/>
      <c r="B123" s="4"/>
      <c r="C123" s="4"/>
      <c r="D123" s="4"/>
      <c r="E123" s="4"/>
      <c r="F123" s="4"/>
      <c r="G123" s="5"/>
      <c r="H123" s="5"/>
      <c r="I123" s="4"/>
    </row>
    <row r="124" ht="15.75" customHeight="1">
      <c r="A124" s="4"/>
      <c r="B124" s="4"/>
      <c r="C124" s="4"/>
      <c r="D124" s="4"/>
      <c r="E124" s="4"/>
      <c r="F124" s="4"/>
      <c r="G124" s="5"/>
      <c r="H124" s="5"/>
      <c r="I124" s="4"/>
    </row>
    <row r="125" ht="15.75" customHeight="1">
      <c r="A125" s="4"/>
      <c r="B125" s="4"/>
      <c r="C125" s="4"/>
      <c r="D125" s="4"/>
      <c r="E125" s="4"/>
      <c r="F125" s="4"/>
      <c r="G125" s="5"/>
      <c r="H125" s="5"/>
      <c r="I125" s="4"/>
    </row>
    <row r="126" ht="15.75" customHeight="1">
      <c r="A126" s="4"/>
      <c r="B126" s="4"/>
      <c r="C126" s="4"/>
      <c r="D126" s="4"/>
      <c r="E126" s="4"/>
      <c r="F126" s="4"/>
      <c r="G126" s="5"/>
      <c r="H126" s="5"/>
      <c r="I126" s="4"/>
    </row>
    <row r="127" ht="15.75" customHeight="1">
      <c r="A127" s="4"/>
      <c r="B127" s="4"/>
      <c r="C127" s="4"/>
      <c r="D127" s="4"/>
      <c r="E127" s="4"/>
      <c r="F127" s="4"/>
      <c r="G127" s="5"/>
      <c r="H127" s="5"/>
      <c r="I127" s="4"/>
    </row>
    <row r="128" ht="15.75" customHeight="1">
      <c r="A128" s="4"/>
      <c r="B128" s="4"/>
      <c r="C128" s="4"/>
      <c r="D128" s="4"/>
      <c r="E128" s="4"/>
      <c r="F128" s="4"/>
      <c r="G128" s="5"/>
      <c r="H128" s="5"/>
      <c r="I128" s="4"/>
    </row>
    <row r="129" ht="15.75" customHeight="1">
      <c r="A129" s="4"/>
      <c r="B129" s="4"/>
      <c r="C129" s="4"/>
      <c r="D129" s="4"/>
      <c r="E129" s="4"/>
      <c r="F129" s="4"/>
      <c r="G129" s="5"/>
      <c r="H129" s="5"/>
      <c r="I129" s="4"/>
    </row>
    <row r="130" ht="15.75" customHeight="1">
      <c r="A130" s="4"/>
      <c r="B130" s="4"/>
      <c r="C130" s="4"/>
      <c r="D130" s="4"/>
      <c r="E130" s="4"/>
      <c r="F130" s="4"/>
      <c r="G130" s="5"/>
      <c r="H130" s="5"/>
      <c r="I130" s="4"/>
    </row>
    <row r="131" ht="15.75" customHeight="1">
      <c r="A131" s="4"/>
      <c r="B131" s="4"/>
      <c r="C131" s="4"/>
      <c r="D131" s="4"/>
      <c r="E131" s="4"/>
      <c r="F131" s="4"/>
      <c r="G131" s="5"/>
      <c r="H131" s="5"/>
      <c r="I131" s="4"/>
    </row>
    <row r="132" ht="15.75" customHeight="1">
      <c r="A132" s="4"/>
      <c r="B132" s="4"/>
      <c r="C132" s="4"/>
      <c r="D132" s="4"/>
      <c r="E132" s="4"/>
      <c r="F132" s="4"/>
      <c r="G132" s="5"/>
      <c r="H132" s="5"/>
      <c r="I132" s="4"/>
    </row>
    <row r="133" ht="15.75" customHeight="1">
      <c r="A133" s="4"/>
      <c r="B133" s="4"/>
      <c r="C133" s="4"/>
      <c r="D133" s="4"/>
      <c r="E133" s="4"/>
      <c r="F133" s="4"/>
      <c r="G133" s="5"/>
      <c r="H133" s="5"/>
      <c r="I133" s="4"/>
    </row>
    <row r="134" ht="15.75" customHeight="1">
      <c r="A134" s="4"/>
      <c r="B134" s="4"/>
      <c r="C134" s="4"/>
      <c r="D134" s="4"/>
      <c r="E134" s="4"/>
      <c r="F134" s="4"/>
      <c r="G134" s="5"/>
      <c r="H134" s="5"/>
      <c r="I134" s="4"/>
    </row>
    <row r="135" ht="15.75" customHeight="1">
      <c r="A135" s="4"/>
      <c r="B135" s="4"/>
      <c r="C135" s="4"/>
      <c r="D135" s="4"/>
      <c r="E135" s="4"/>
      <c r="F135" s="4"/>
      <c r="G135" s="5"/>
      <c r="H135" s="5"/>
      <c r="I135" s="4"/>
    </row>
    <row r="136" ht="15.75" customHeight="1">
      <c r="A136" s="4"/>
      <c r="B136" s="4"/>
      <c r="C136" s="4"/>
      <c r="D136" s="4"/>
      <c r="E136" s="4"/>
      <c r="F136" s="4"/>
      <c r="G136" s="5"/>
      <c r="H136" s="5"/>
      <c r="I136" s="4"/>
    </row>
    <row r="137" ht="15.75" customHeight="1">
      <c r="A137" s="4"/>
      <c r="B137" s="4"/>
      <c r="C137" s="4"/>
      <c r="D137" s="4"/>
      <c r="E137" s="4"/>
      <c r="F137" s="4"/>
      <c r="G137" s="5"/>
      <c r="H137" s="5"/>
      <c r="I137" s="4"/>
    </row>
    <row r="138" ht="15.75" customHeight="1">
      <c r="A138" s="4"/>
      <c r="B138" s="4"/>
      <c r="C138" s="4"/>
      <c r="D138" s="4"/>
      <c r="E138" s="4"/>
      <c r="F138" s="4"/>
      <c r="G138" s="5"/>
      <c r="H138" s="5"/>
      <c r="I138" s="4"/>
    </row>
    <row r="139" ht="15.75" customHeight="1">
      <c r="A139" s="4"/>
      <c r="B139" s="4"/>
      <c r="C139" s="4"/>
      <c r="D139" s="4"/>
      <c r="E139" s="4"/>
      <c r="F139" s="4"/>
      <c r="G139" s="5"/>
      <c r="H139" s="5"/>
      <c r="I139" s="4"/>
    </row>
    <row r="140" ht="15.75" customHeight="1">
      <c r="A140" s="4"/>
      <c r="B140" s="4"/>
      <c r="C140" s="4"/>
      <c r="D140" s="4"/>
      <c r="E140" s="4"/>
      <c r="F140" s="4"/>
      <c r="G140" s="5"/>
      <c r="H140" s="5"/>
      <c r="I140" s="4"/>
    </row>
    <row r="141" ht="15.75" customHeight="1">
      <c r="A141" s="4"/>
      <c r="B141" s="4"/>
      <c r="C141" s="4"/>
      <c r="D141" s="4"/>
      <c r="E141" s="4"/>
      <c r="F141" s="4"/>
      <c r="G141" s="5"/>
      <c r="H141" s="5"/>
      <c r="I141" s="4"/>
    </row>
    <row r="142" ht="15.75" customHeight="1">
      <c r="A142" s="4"/>
      <c r="B142" s="4"/>
      <c r="C142" s="4"/>
      <c r="D142" s="4"/>
      <c r="E142" s="4"/>
      <c r="F142" s="4"/>
      <c r="G142" s="5"/>
      <c r="H142" s="5"/>
      <c r="I142" s="4"/>
    </row>
    <row r="143" ht="15.75" customHeight="1">
      <c r="A143" s="4"/>
      <c r="B143" s="4"/>
      <c r="C143" s="4"/>
      <c r="D143" s="4"/>
      <c r="E143" s="4"/>
      <c r="F143" s="4"/>
      <c r="G143" s="5"/>
      <c r="H143" s="5"/>
      <c r="I143" s="4"/>
    </row>
    <row r="144" ht="15.75" customHeight="1">
      <c r="A144" s="4"/>
      <c r="B144" s="4"/>
      <c r="C144" s="4"/>
      <c r="D144" s="4"/>
      <c r="E144" s="4"/>
      <c r="F144" s="4"/>
      <c r="G144" s="5"/>
      <c r="H144" s="5"/>
      <c r="I144" s="4"/>
    </row>
    <row r="145" ht="15.75" customHeight="1">
      <c r="A145" s="4"/>
      <c r="B145" s="4"/>
      <c r="C145" s="4"/>
      <c r="D145" s="4"/>
      <c r="E145" s="4"/>
      <c r="F145" s="4"/>
      <c r="G145" s="5"/>
      <c r="H145" s="5"/>
      <c r="I145" s="4"/>
    </row>
    <row r="146" ht="15.75" customHeight="1">
      <c r="A146" s="4"/>
      <c r="B146" s="4"/>
      <c r="C146" s="4"/>
      <c r="D146" s="4"/>
      <c r="E146" s="4"/>
      <c r="F146" s="4"/>
      <c r="G146" s="5"/>
      <c r="H146" s="5"/>
      <c r="I146" s="4"/>
    </row>
    <row r="147" ht="15.75" customHeight="1">
      <c r="A147" s="4"/>
      <c r="B147" s="4"/>
      <c r="C147" s="4"/>
      <c r="D147" s="4"/>
      <c r="E147" s="4"/>
      <c r="F147" s="4"/>
      <c r="G147" s="5"/>
      <c r="H147" s="5"/>
      <c r="I147" s="4"/>
    </row>
    <row r="148" ht="15.75" customHeight="1">
      <c r="A148" s="4"/>
      <c r="B148" s="4"/>
      <c r="C148" s="4"/>
      <c r="D148" s="4"/>
      <c r="E148" s="4"/>
      <c r="F148" s="4"/>
      <c r="G148" s="5"/>
      <c r="H148" s="5"/>
      <c r="I148" s="4"/>
    </row>
    <row r="149" ht="15.75" customHeight="1">
      <c r="A149" s="4"/>
      <c r="B149" s="4"/>
      <c r="C149" s="4"/>
      <c r="D149" s="4"/>
      <c r="E149" s="4"/>
      <c r="F149" s="4"/>
      <c r="G149" s="5"/>
      <c r="H149" s="5"/>
      <c r="I149" s="4"/>
    </row>
    <row r="150" ht="15.75" customHeight="1">
      <c r="A150" s="4"/>
      <c r="B150" s="4"/>
      <c r="C150" s="4"/>
      <c r="D150" s="4"/>
      <c r="E150" s="4"/>
      <c r="F150" s="4"/>
      <c r="G150" s="5"/>
      <c r="H150" s="5"/>
      <c r="I150" s="4"/>
    </row>
    <row r="151" ht="15.75" customHeight="1">
      <c r="A151" s="4"/>
      <c r="B151" s="4"/>
      <c r="C151" s="4"/>
      <c r="D151" s="4"/>
      <c r="E151" s="4"/>
      <c r="F151" s="4"/>
      <c r="G151" s="5"/>
      <c r="H151" s="5"/>
      <c r="I151" s="4"/>
    </row>
    <row r="152" ht="15.75" customHeight="1">
      <c r="A152" s="4"/>
      <c r="B152" s="4"/>
      <c r="C152" s="4"/>
      <c r="D152" s="4"/>
      <c r="E152" s="4"/>
      <c r="F152" s="4"/>
      <c r="G152" s="5"/>
      <c r="H152" s="5"/>
      <c r="I152" s="4"/>
    </row>
    <row r="153" ht="15.75" customHeight="1">
      <c r="A153" s="4"/>
      <c r="B153" s="4"/>
      <c r="C153" s="4"/>
      <c r="D153" s="4"/>
      <c r="E153" s="4"/>
      <c r="F153" s="4"/>
      <c r="G153" s="5"/>
      <c r="H153" s="5"/>
      <c r="I153" s="4"/>
    </row>
    <row r="154" ht="15.75" customHeight="1">
      <c r="A154" s="4"/>
      <c r="B154" s="4"/>
      <c r="C154" s="4"/>
      <c r="D154" s="4"/>
      <c r="E154" s="4"/>
      <c r="F154" s="4"/>
      <c r="G154" s="5"/>
      <c r="H154" s="5"/>
      <c r="I154" s="4"/>
    </row>
    <row r="155" ht="15.75" customHeight="1">
      <c r="A155" s="4"/>
      <c r="B155" s="4"/>
      <c r="C155" s="4"/>
      <c r="D155" s="4"/>
      <c r="E155" s="4"/>
      <c r="F155" s="4"/>
      <c r="G155" s="5"/>
      <c r="H155" s="5"/>
      <c r="I155" s="4"/>
    </row>
    <row r="156" ht="15.75" customHeight="1">
      <c r="A156" s="4"/>
      <c r="B156" s="4"/>
      <c r="C156" s="4"/>
      <c r="D156" s="4"/>
      <c r="E156" s="4"/>
      <c r="F156" s="4"/>
      <c r="G156" s="5"/>
      <c r="H156" s="5"/>
      <c r="I156" s="4"/>
    </row>
    <row r="157" ht="15.75" customHeight="1">
      <c r="A157" s="4"/>
      <c r="B157" s="4"/>
      <c r="C157" s="4"/>
      <c r="D157" s="4"/>
      <c r="E157" s="4"/>
      <c r="F157" s="4"/>
      <c r="G157" s="5"/>
      <c r="H157" s="5"/>
      <c r="I157" s="4"/>
    </row>
    <row r="158" ht="15.75" customHeight="1">
      <c r="A158" s="4"/>
      <c r="B158" s="4"/>
      <c r="C158" s="4"/>
      <c r="D158" s="4"/>
      <c r="E158" s="4"/>
      <c r="F158" s="4"/>
      <c r="G158" s="5"/>
      <c r="H158" s="5"/>
      <c r="I158" s="4"/>
    </row>
    <row r="159" ht="15.75" customHeight="1">
      <c r="A159" s="4"/>
      <c r="B159" s="4"/>
      <c r="C159" s="4"/>
      <c r="D159" s="4"/>
      <c r="E159" s="4"/>
      <c r="F159" s="4"/>
      <c r="G159" s="5"/>
      <c r="H159" s="5"/>
      <c r="I159" s="4"/>
    </row>
    <row r="160" ht="15.75" customHeight="1">
      <c r="A160" s="4"/>
      <c r="B160" s="4"/>
      <c r="C160" s="4"/>
      <c r="D160" s="4"/>
      <c r="E160" s="4"/>
      <c r="F160" s="4"/>
      <c r="G160" s="5"/>
      <c r="H160" s="5"/>
      <c r="I160" s="4"/>
    </row>
    <row r="161" ht="15.75" customHeight="1">
      <c r="A161" s="4"/>
      <c r="B161" s="4"/>
      <c r="C161" s="4"/>
      <c r="D161" s="4"/>
      <c r="E161" s="4"/>
      <c r="F161" s="4"/>
      <c r="G161" s="5"/>
      <c r="H161" s="5"/>
      <c r="I161" s="4"/>
    </row>
    <row r="162" ht="15.75" customHeight="1">
      <c r="A162" s="4"/>
      <c r="B162" s="4"/>
      <c r="C162" s="4"/>
      <c r="D162" s="4"/>
      <c r="E162" s="4"/>
      <c r="F162" s="4"/>
      <c r="G162" s="5"/>
      <c r="H162" s="5"/>
      <c r="I162" s="4"/>
    </row>
    <row r="163" ht="15.75" customHeight="1">
      <c r="A163" s="4"/>
      <c r="B163" s="4"/>
      <c r="C163" s="4"/>
      <c r="D163" s="4"/>
      <c r="E163" s="4"/>
      <c r="F163" s="4"/>
      <c r="G163" s="5"/>
      <c r="H163" s="5"/>
      <c r="I163" s="4"/>
    </row>
    <row r="164" ht="15.75" customHeight="1">
      <c r="A164" s="4"/>
      <c r="B164" s="4"/>
      <c r="C164" s="4"/>
      <c r="D164" s="4"/>
      <c r="E164" s="4"/>
      <c r="F164" s="4"/>
      <c r="G164" s="5"/>
      <c r="H164" s="5"/>
      <c r="I164" s="4"/>
    </row>
    <row r="165" ht="15.75" customHeight="1">
      <c r="A165" s="4"/>
      <c r="B165" s="4"/>
      <c r="C165" s="4"/>
      <c r="D165" s="4"/>
      <c r="E165" s="4"/>
      <c r="F165" s="4"/>
      <c r="G165" s="5"/>
      <c r="H165" s="5"/>
      <c r="I165" s="4"/>
    </row>
    <row r="166" ht="15.75" customHeight="1">
      <c r="A166" s="4"/>
      <c r="B166" s="4"/>
      <c r="C166" s="4"/>
      <c r="D166" s="4"/>
      <c r="E166" s="4"/>
      <c r="F166" s="4"/>
      <c r="G166" s="5"/>
      <c r="H166" s="5"/>
      <c r="I166" s="4"/>
    </row>
    <row r="167" ht="15.75" customHeight="1">
      <c r="A167" s="4"/>
      <c r="B167" s="4"/>
      <c r="C167" s="4"/>
      <c r="D167" s="4"/>
      <c r="E167" s="4"/>
      <c r="F167" s="4"/>
      <c r="G167" s="5"/>
      <c r="H167" s="5"/>
      <c r="I167" s="4"/>
    </row>
    <row r="168" ht="15.75" customHeight="1">
      <c r="A168" s="4"/>
      <c r="B168" s="4"/>
      <c r="C168" s="4"/>
      <c r="D168" s="4"/>
      <c r="E168" s="4"/>
      <c r="F168" s="4"/>
      <c r="G168" s="5"/>
      <c r="H168" s="5"/>
      <c r="I168" s="4"/>
    </row>
    <row r="169" ht="15.75" customHeight="1">
      <c r="A169" s="4"/>
      <c r="B169" s="4"/>
      <c r="C169" s="4"/>
      <c r="D169" s="4"/>
      <c r="E169" s="4"/>
      <c r="F169" s="4"/>
      <c r="G169" s="5"/>
      <c r="H169" s="5"/>
      <c r="I169" s="4"/>
    </row>
    <row r="170" ht="15.75" customHeight="1">
      <c r="A170" s="4"/>
      <c r="B170" s="4"/>
      <c r="C170" s="4"/>
      <c r="D170" s="4"/>
      <c r="E170" s="4"/>
      <c r="F170" s="4"/>
      <c r="G170" s="5"/>
      <c r="H170" s="5"/>
      <c r="I170" s="4"/>
    </row>
    <row r="171" ht="15.75" customHeight="1">
      <c r="A171" s="4"/>
      <c r="B171" s="4"/>
      <c r="C171" s="4"/>
      <c r="D171" s="4"/>
      <c r="E171" s="4"/>
      <c r="F171" s="4"/>
      <c r="G171" s="5"/>
      <c r="H171" s="5"/>
      <c r="I171" s="4"/>
    </row>
    <row r="172" ht="15.75" customHeight="1">
      <c r="A172" s="4"/>
      <c r="B172" s="4"/>
      <c r="C172" s="4"/>
      <c r="D172" s="4"/>
      <c r="E172" s="4"/>
      <c r="F172" s="4"/>
      <c r="G172" s="5"/>
      <c r="H172" s="5"/>
      <c r="I172" s="4"/>
    </row>
    <row r="173" ht="15.75" customHeight="1">
      <c r="A173" s="4"/>
      <c r="B173" s="4"/>
      <c r="C173" s="4"/>
      <c r="D173" s="4"/>
      <c r="E173" s="4"/>
      <c r="F173" s="4"/>
      <c r="G173" s="5"/>
      <c r="H173" s="5"/>
      <c r="I173" s="4"/>
    </row>
    <row r="174" ht="15.75" customHeight="1">
      <c r="A174" s="4"/>
      <c r="B174" s="4"/>
      <c r="C174" s="4"/>
      <c r="D174" s="4"/>
      <c r="E174" s="4"/>
      <c r="F174" s="4"/>
      <c r="G174" s="5"/>
      <c r="H174" s="5"/>
      <c r="I174" s="4"/>
    </row>
    <row r="175" ht="15.75" customHeight="1">
      <c r="A175" s="4"/>
      <c r="B175" s="4"/>
      <c r="C175" s="4"/>
      <c r="D175" s="4"/>
      <c r="E175" s="4"/>
      <c r="F175" s="4"/>
      <c r="G175" s="5"/>
      <c r="H175" s="5"/>
      <c r="I175" s="4"/>
    </row>
    <row r="176" ht="15.75" customHeight="1">
      <c r="A176" s="4"/>
      <c r="B176" s="4"/>
      <c r="C176" s="4"/>
      <c r="D176" s="4"/>
      <c r="E176" s="4"/>
      <c r="F176" s="4"/>
      <c r="G176" s="5"/>
      <c r="H176" s="5"/>
      <c r="I176" s="4"/>
    </row>
    <row r="177" ht="15.75" customHeight="1">
      <c r="A177" s="4"/>
      <c r="B177" s="4"/>
      <c r="C177" s="4"/>
      <c r="D177" s="4"/>
      <c r="E177" s="4"/>
      <c r="F177" s="4"/>
      <c r="G177" s="5"/>
      <c r="H177" s="5"/>
      <c r="I177" s="4"/>
    </row>
    <row r="178" ht="15.75" customHeight="1">
      <c r="A178" s="4"/>
      <c r="B178" s="4"/>
      <c r="C178" s="4"/>
      <c r="D178" s="4"/>
      <c r="E178" s="4"/>
      <c r="F178" s="4"/>
      <c r="G178" s="5"/>
      <c r="H178" s="5"/>
      <c r="I178" s="4"/>
    </row>
    <row r="179" ht="15.75" customHeight="1">
      <c r="A179" s="4"/>
      <c r="B179" s="4"/>
      <c r="C179" s="4"/>
      <c r="D179" s="4"/>
      <c r="E179" s="4"/>
      <c r="F179" s="4"/>
      <c r="G179" s="5"/>
      <c r="H179" s="5"/>
      <c r="I179" s="4"/>
    </row>
    <row r="180" ht="15.75" customHeight="1">
      <c r="A180" s="4"/>
      <c r="B180" s="4"/>
      <c r="C180" s="4"/>
      <c r="D180" s="4"/>
      <c r="E180" s="4"/>
      <c r="F180" s="4"/>
      <c r="G180" s="5"/>
      <c r="H180" s="5"/>
      <c r="I180" s="4"/>
    </row>
    <row r="181" ht="15.75" customHeight="1">
      <c r="A181" s="4"/>
      <c r="B181" s="4"/>
      <c r="C181" s="4"/>
      <c r="D181" s="4"/>
      <c r="E181" s="4"/>
      <c r="F181" s="4"/>
      <c r="G181" s="5"/>
      <c r="H181" s="5"/>
      <c r="I181" s="4"/>
    </row>
    <row r="182" ht="15.75" customHeight="1">
      <c r="A182" s="4"/>
      <c r="B182" s="4"/>
      <c r="C182" s="4"/>
      <c r="D182" s="4"/>
      <c r="E182" s="4"/>
      <c r="F182" s="4"/>
      <c r="G182" s="5"/>
      <c r="H182" s="5"/>
      <c r="I182" s="4"/>
    </row>
    <row r="183" ht="15.75" customHeight="1">
      <c r="A183" s="4"/>
      <c r="B183" s="4"/>
      <c r="C183" s="4"/>
      <c r="D183" s="4"/>
      <c r="E183" s="4"/>
      <c r="F183" s="4"/>
      <c r="G183" s="5"/>
      <c r="H183" s="5"/>
      <c r="I183" s="4"/>
    </row>
    <row r="184" ht="15.75" customHeight="1">
      <c r="A184" s="4"/>
      <c r="B184" s="4"/>
      <c r="C184" s="4"/>
      <c r="D184" s="4"/>
      <c r="E184" s="4"/>
      <c r="F184" s="4"/>
      <c r="G184" s="5"/>
      <c r="H184" s="5"/>
      <c r="I184" s="4"/>
    </row>
    <row r="185" ht="15.75" customHeight="1">
      <c r="A185" s="4"/>
      <c r="B185" s="4"/>
      <c r="C185" s="4"/>
      <c r="D185" s="4"/>
      <c r="E185" s="4"/>
      <c r="F185" s="4"/>
      <c r="G185" s="5"/>
      <c r="H185" s="5"/>
      <c r="I185" s="4"/>
    </row>
    <row r="186" ht="15.75" customHeight="1">
      <c r="A186" s="4"/>
      <c r="B186" s="4"/>
      <c r="C186" s="4"/>
      <c r="D186" s="4"/>
      <c r="E186" s="4"/>
      <c r="F186" s="4"/>
      <c r="G186" s="5"/>
      <c r="H186" s="5"/>
      <c r="I186" s="4"/>
    </row>
    <row r="187" ht="15.75" customHeight="1">
      <c r="A187" s="4"/>
      <c r="B187" s="4"/>
      <c r="C187" s="4"/>
      <c r="D187" s="4"/>
      <c r="E187" s="4"/>
      <c r="F187" s="4"/>
      <c r="G187" s="5"/>
      <c r="H187" s="5"/>
      <c r="I187" s="4"/>
    </row>
    <row r="188" ht="15.75" customHeight="1">
      <c r="A188" s="4"/>
      <c r="B188" s="4"/>
      <c r="C188" s="4"/>
      <c r="D188" s="4"/>
      <c r="E188" s="4"/>
      <c r="F188" s="4"/>
      <c r="G188" s="5"/>
      <c r="H188" s="5"/>
      <c r="I188" s="4"/>
    </row>
    <row r="189" ht="15.75" customHeight="1">
      <c r="A189" s="4"/>
      <c r="B189" s="4"/>
      <c r="C189" s="4"/>
      <c r="D189" s="4"/>
      <c r="E189" s="4"/>
      <c r="F189" s="4"/>
      <c r="G189" s="5"/>
      <c r="H189" s="5"/>
      <c r="I189" s="4"/>
    </row>
    <row r="190" ht="15.75" customHeight="1">
      <c r="A190" s="4"/>
      <c r="B190" s="4"/>
      <c r="C190" s="4"/>
      <c r="D190" s="4"/>
      <c r="E190" s="4"/>
      <c r="F190" s="4"/>
      <c r="G190" s="5"/>
      <c r="H190" s="5"/>
      <c r="I190" s="4"/>
    </row>
    <row r="191" ht="15.75" customHeight="1">
      <c r="A191" s="4"/>
      <c r="B191" s="4"/>
      <c r="C191" s="4"/>
      <c r="D191" s="4"/>
      <c r="E191" s="4"/>
      <c r="F191" s="4"/>
      <c r="G191" s="5"/>
      <c r="H191" s="5"/>
      <c r="I191" s="4"/>
    </row>
    <row r="192" ht="15.75" customHeight="1">
      <c r="A192" s="4"/>
      <c r="B192" s="4"/>
      <c r="C192" s="4"/>
      <c r="D192" s="4"/>
      <c r="E192" s="4"/>
      <c r="F192" s="4"/>
      <c r="G192" s="5"/>
      <c r="H192" s="5"/>
      <c r="I192" s="4"/>
    </row>
    <row r="193" ht="15.75" customHeight="1">
      <c r="A193" s="4"/>
      <c r="B193" s="4"/>
      <c r="C193" s="4"/>
      <c r="D193" s="4"/>
      <c r="E193" s="4"/>
      <c r="F193" s="4"/>
      <c r="G193" s="5"/>
      <c r="H193" s="5"/>
      <c r="I193" s="4"/>
    </row>
    <row r="194" ht="15.75" customHeight="1">
      <c r="A194" s="4"/>
      <c r="B194" s="4"/>
      <c r="C194" s="4"/>
      <c r="D194" s="4"/>
      <c r="E194" s="4"/>
      <c r="F194" s="4"/>
      <c r="G194" s="5"/>
      <c r="H194" s="5"/>
      <c r="I194" s="4"/>
    </row>
    <row r="195" ht="15.75" customHeight="1">
      <c r="A195" s="4"/>
      <c r="B195" s="4"/>
      <c r="C195" s="4"/>
      <c r="D195" s="4"/>
      <c r="E195" s="4"/>
      <c r="F195" s="4"/>
      <c r="G195" s="5"/>
      <c r="H195" s="5"/>
      <c r="I195" s="4"/>
    </row>
    <row r="196" ht="15.75" customHeight="1">
      <c r="A196" s="4"/>
      <c r="B196" s="4"/>
      <c r="C196" s="4"/>
      <c r="D196" s="4"/>
      <c r="E196" s="4"/>
      <c r="F196" s="4"/>
      <c r="G196" s="5"/>
      <c r="H196" s="5"/>
      <c r="I196" s="4"/>
    </row>
    <row r="197" ht="15.75" customHeight="1">
      <c r="A197" s="4"/>
      <c r="B197" s="4"/>
      <c r="C197" s="4"/>
      <c r="D197" s="4"/>
      <c r="E197" s="4"/>
      <c r="F197" s="4"/>
      <c r="G197" s="5"/>
      <c r="H197" s="5"/>
      <c r="I197" s="4"/>
    </row>
    <row r="198" ht="15.75" customHeight="1">
      <c r="A198" s="4"/>
      <c r="B198" s="4"/>
      <c r="C198" s="4"/>
      <c r="D198" s="4"/>
      <c r="E198" s="4"/>
      <c r="F198" s="4"/>
      <c r="G198" s="5"/>
      <c r="H198" s="5"/>
      <c r="I198" s="4"/>
    </row>
    <row r="199" ht="15.75" customHeight="1">
      <c r="A199" s="4"/>
      <c r="B199" s="4"/>
      <c r="C199" s="4"/>
      <c r="D199" s="4"/>
      <c r="E199" s="4"/>
      <c r="F199" s="4"/>
      <c r="G199" s="5"/>
      <c r="H199" s="5"/>
      <c r="I199" s="4"/>
    </row>
    <row r="200" ht="15.75" customHeight="1">
      <c r="A200" s="4"/>
      <c r="B200" s="4"/>
      <c r="C200" s="4"/>
      <c r="D200" s="4"/>
      <c r="E200" s="4"/>
      <c r="F200" s="4"/>
      <c r="G200" s="5"/>
      <c r="H200" s="5"/>
      <c r="I200" s="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